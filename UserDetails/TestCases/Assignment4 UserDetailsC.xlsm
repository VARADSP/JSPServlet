
<file path=[Content_Types].xml><?xml version="1.0" encoding="utf-8"?>
<Types xmlns="http://schemas.openxmlformats.org/package/2006/content-types">
  <Default Extension="png" ContentType="image/png"/>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drawings/drawing6.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drawings/drawing4.xml" ContentType="application/vnd.openxmlformats-officedocument.drawing+xml"/>
  <Override PartName="/xl/drawings/drawing5.xml" ContentType="application/vnd.openxmlformats-officedocument.drawing+xml"/>
  <Override PartName="/xl/comments6.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180" yWindow="-195" windowWidth="12120" windowHeight="6330" tabRatio="511" activeTab="4"/>
  </bookViews>
  <sheets>
    <sheet name="Assignment" sheetId="77" r:id="rId1"/>
    <sheet name="Summary" sheetId="32" r:id="rId2"/>
    <sheet name="Template" sheetId="21" state="hidden" r:id="rId3"/>
    <sheet name="Page_Load" sheetId="71" r:id="rId4"/>
    <sheet name="Submit_Click" sheetId="72" r:id="rId5"/>
    <sheet name="Clear_Click" sheetId="75" r:id="rId6"/>
    <sheet name="GoBack_Click" sheetId="78" r:id="rId7"/>
    <sheet name="Evidence" sheetId="76" r:id="rId8"/>
  </sheets>
  <functionGroups/>
  <externalReferences>
    <externalReference r:id="rId9"/>
  </externalReferences>
  <definedNames>
    <definedName name="____A02">NA()</definedName>
    <definedName name="___A02">NA()</definedName>
    <definedName name="__A02" localSheetId="6">{#N/A,#N/A,FALSE,"連絡先";#N/A,#N/A,FALSE,"ﾊｰﾄﾞｿﾌﾄ環境";#N/A,#N/A,FALSE,"IP･ﾌﾟﾛﾄｺﾙの設定";#N/A,#N/A,FALSE,"各種設定";#N/A,#N/A,FALSE,"OSPF";#N/A,#N/A,FALSE,"X25";#N/A,#N/A,FALSE,"FrameRelay";#N/A,#N/A,FALSE,"ATM"}</definedName>
    <definedName name="__A02">{#N/A,#N/A,FALSE,"連絡先";#N/A,#N/A,FALSE,"ﾊｰﾄﾞｿﾌﾄ環境";#N/A,#N/A,FALSE,"IP･ﾌﾟﾛﾄｺﾙの設定";#N/A,#N/A,FALSE,"各種設定";#N/A,#N/A,FALSE,"OSPF";#N/A,#N/A,FALSE,"X25";#N/A,#N/A,FALSE,"FrameRelay";#N/A,#N/A,FALSE,"ATM"}</definedName>
    <definedName name="_A02" localSheetId="6">{#N/A,#N/A,FALSE,"連絡先";#N/A,#N/A,FALSE,"ﾊｰﾄﾞｿﾌﾄ環境";#N/A,#N/A,FALSE,"IP･ﾌﾟﾛﾄｺﾙの設定";#N/A,#N/A,FALSE,"各種設定";#N/A,#N/A,FALSE,"OSPF";#N/A,#N/A,FALSE,"X25";#N/A,#N/A,FALSE,"FrameRelay";#N/A,#N/A,FALSE,"ATM"}</definedName>
    <definedName name="_A02" localSheetId="3" hidden="1">{#N/A,#N/A,FALSE,"連絡先";#N/A,#N/A,FALSE,"ﾊｰﾄﾞｿﾌﾄ環境";#N/A,#N/A,FALSE,"IP･ﾌﾟﾛﾄｺﾙの設定";#N/A,#N/A,FALSE,"各種設定";#N/A,#N/A,FALSE,"OSPF";#N/A,#N/A,FALSE,"X25";#N/A,#N/A,FALSE,"FrameRelay";#N/A,#N/A,FALSE,"ATM"}</definedName>
    <definedName name="_A02" hidden="1">{#N/A,#N/A,FALSE,"連絡先";#N/A,#N/A,FALSE,"ﾊｰﾄﾞｿﾌﾄ環境";#N/A,#N/A,FALSE,"IP･ﾌﾟﾛﾄｺﾙの設定";#N/A,#N/A,FALSE,"各種設定";#N/A,#N/A,FALSE,"OSPF";#N/A,#N/A,FALSE,"X25";#N/A,#N/A,FALSE,"FrameRelay";#N/A,#N/A,FALSE,"ATM"}</definedName>
    <definedName name="_xlnm._FilterDatabase" localSheetId="1" hidden="1">Summary!$B$9:$AL$9</definedName>
    <definedName name="aa" localSheetId="6">{#N/A,#N/A,FALSE,"連絡先";#N/A,#N/A,FALSE,"ﾊｰﾄﾞｿﾌﾄ環境";#N/A,#N/A,FALSE,"IP･ﾌﾟﾛﾄｺﾙの設定";#N/A,#N/A,FALSE,"各種設定";#N/A,#N/A,FALSE,"OSPF";#N/A,#N/A,FALSE,"X25";#N/A,#N/A,FALSE,"FrameRelay";#N/A,#N/A,FALSE,"ATM"}</definedName>
    <definedName name="aa" localSheetId="3" hidden="1">{#N/A,#N/A,FALSE,"連絡先";#N/A,#N/A,FALSE,"ﾊｰﾄﾞｿﾌﾄ環境";#N/A,#N/A,FALSE,"IP･ﾌﾟﾛﾄｺﾙの設定";#N/A,#N/A,FALSE,"各種設定";#N/A,#N/A,FALSE,"OSPF";#N/A,#N/A,FALSE,"X25";#N/A,#N/A,FALSE,"FrameRelay";#N/A,#N/A,FALSE,"ATM"}</definedName>
    <definedName name="aa" hidden="1">{#N/A,#N/A,FALSE,"連絡先";#N/A,#N/A,FALSE,"ﾊｰﾄﾞｿﾌﾄ環境";#N/A,#N/A,FALSE,"IP･ﾌﾟﾛﾄｺﾙの設定";#N/A,#N/A,FALSE,"各種設定";#N/A,#N/A,FALSE,"OSPF";#N/A,#N/A,FALSE,"X25";#N/A,#N/A,FALSE,"FrameRelay";#N/A,#N/A,FALSE,"ATM"}</definedName>
    <definedName name="BugCount" localSheetId="5">Clear_Click!$H$47:$AF$47</definedName>
    <definedName name="BugCount" localSheetId="3">Page_Load!$H$56:$AF$56</definedName>
    <definedName name="BugCount" localSheetId="4">Submit_Click!$H$97:$AF$97</definedName>
    <definedName name="BugCount">Template!$H$29:$AF$29</definedName>
    <definedName name="BugSheetName" localSheetId="5">Clear_Click!$F$46</definedName>
    <definedName name="BugSheetName" localSheetId="3">Page_Load!$F$55</definedName>
    <definedName name="BugSheetName" localSheetId="4">Submit_Click!$F$96</definedName>
    <definedName name="BugSheetName">Template!$F$28</definedName>
    <definedName name="d" localSheetId="6">{#N/A,#N/A,FALSE,"連絡先";#N/A,#N/A,FALSE,"ﾊｰﾄﾞｿﾌﾄ環境";#N/A,#N/A,FALSE,"IP･ﾌﾟﾛﾄｺﾙの設定";#N/A,#N/A,FALSE,"各種設定";#N/A,#N/A,FALSE,"OSPF";#N/A,#N/A,FALSE,"X25";#N/A,#N/A,FALSE,"FrameRelay";#N/A,#N/A,FALSE,"ATM"}</definedName>
    <definedName name="d" localSheetId="3" hidden="1">{#N/A,#N/A,FALSE,"連絡先";#N/A,#N/A,FALSE,"ﾊｰﾄﾞｿﾌﾄ環境";#N/A,#N/A,FALSE,"IP･ﾌﾟﾛﾄｺﾙの設定";#N/A,#N/A,FALSE,"各種設定";#N/A,#N/A,FALSE,"OSPF";#N/A,#N/A,FALSE,"X25";#N/A,#N/A,FALSE,"FrameRelay";#N/A,#N/A,FALSE,"ATM"}</definedName>
    <definedName name="d" hidden="1">{#N/A,#N/A,FALSE,"連絡先";#N/A,#N/A,FALSE,"ﾊｰﾄﾞｿﾌﾄ環境";#N/A,#N/A,FALSE,"IP･ﾌﾟﾛﾄｺﾙの設定";#N/A,#N/A,FALSE,"各種設定";#N/A,#N/A,FALSE,"OSPF";#N/A,#N/A,FALSE,"X25";#N/A,#N/A,FALSE,"FrameRelay";#N/A,#N/A,FALSE,"ATM"}</definedName>
    <definedName name="daf" localSheetId="6">{#N/A,#N/A,FALSE,"連絡先";#N/A,#N/A,FALSE,"ﾊｰﾄﾞｿﾌﾄ環境";#N/A,#N/A,FALSE,"IP･ﾌﾟﾛﾄｺﾙの設定";#N/A,#N/A,FALSE,"各種設定";#N/A,#N/A,FALSE,"OSPF";#N/A,#N/A,FALSE,"X25";#N/A,#N/A,FALSE,"FrameRelay";#N/A,#N/A,FALSE,"ATM"}</definedName>
    <definedName name="daf" localSheetId="3" hidden="1">{#N/A,#N/A,FALSE,"連絡先";#N/A,#N/A,FALSE,"ﾊｰﾄﾞｿﾌﾄ環境";#N/A,#N/A,FALSE,"IP･ﾌﾟﾛﾄｺﾙの設定";#N/A,#N/A,FALSE,"各種設定";#N/A,#N/A,FALSE,"OSPF";#N/A,#N/A,FALSE,"X25";#N/A,#N/A,FALSE,"FrameRelay";#N/A,#N/A,FALSE,"ATM"}</definedName>
    <definedName name="daf" hidden="1">{#N/A,#N/A,FALSE,"連絡先";#N/A,#N/A,FALSE,"ﾊｰﾄﾞｿﾌﾄ環境";#N/A,#N/A,FALSE,"IP･ﾌﾟﾛﾄｺﾙの設定";#N/A,#N/A,FALSE,"各種設定";#N/A,#N/A,FALSE,"OSPF";#N/A,#N/A,FALSE,"X25";#N/A,#N/A,FALSE,"FrameRelay";#N/A,#N/A,FALSE,"ATM"}</definedName>
    <definedName name="dd" localSheetId="6">{#N/A,#N/A,FALSE,"連絡先";#N/A,#N/A,FALSE,"ﾊｰﾄﾞｿﾌﾄ環境";#N/A,#N/A,FALSE,"IP･ﾌﾟﾛﾄｺﾙの設定";#N/A,#N/A,FALSE,"各種設定";#N/A,#N/A,FALSE,"OSPF";#N/A,#N/A,FALSE,"X25";#N/A,#N/A,FALSE,"FrameRelay";#N/A,#N/A,FALSE,"ATM"}</definedName>
    <definedName name="dd" localSheetId="3" hidden="1">{#N/A,#N/A,FALSE,"連絡先";#N/A,#N/A,FALSE,"ﾊｰﾄﾞｿﾌﾄ環境";#N/A,#N/A,FALSE,"IP･ﾌﾟﾛﾄｺﾙの設定";#N/A,#N/A,FALSE,"各種設定";#N/A,#N/A,FALSE,"OSPF";#N/A,#N/A,FALSE,"X25";#N/A,#N/A,FALSE,"FrameRelay";#N/A,#N/A,FALSE,"ATM"}</definedName>
    <definedName name="dd" hidden="1">{#N/A,#N/A,FALSE,"連絡先";#N/A,#N/A,FALSE,"ﾊｰﾄﾞｿﾌﾄ環境";#N/A,#N/A,FALSE,"IP･ﾌﾟﾛﾄｺﾙの設定";#N/A,#N/A,FALSE,"各種設定";#N/A,#N/A,FALSE,"OSPF";#N/A,#N/A,FALSE,"X25";#N/A,#N/A,FALSE,"FrameRelay";#N/A,#N/A,FALSE,"ATM"}</definedName>
    <definedName name="ｄｄｄ" localSheetId="6">{#N/A,#N/A,FALSE,"連絡先";#N/A,#N/A,FALSE,"ﾊｰﾄﾞｿﾌﾄ環境";#N/A,#N/A,FALSE,"IP･ﾌﾟﾛﾄｺﾙの設定";#N/A,#N/A,FALSE,"各種設定";#N/A,#N/A,FALSE,"OSPF";#N/A,#N/A,FALSE,"X25";#N/A,#N/A,FALSE,"FrameRelay";#N/A,#N/A,FALSE,"ATM"}</definedName>
    <definedName name="ｄｄｄ" localSheetId="3" hidden="1">{#N/A,#N/A,FALSE,"連絡先";#N/A,#N/A,FALSE,"ﾊｰﾄﾞｿﾌﾄ環境";#N/A,#N/A,FALSE,"IP･ﾌﾟﾛﾄｺﾙの設定";#N/A,#N/A,FALSE,"各種設定";#N/A,#N/A,FALSE,"OSPF";#N/A,#N/A,FALSE,"X25";#N/A,#N/A,FALSE,"FrameRelay";#N/A,#N/A,FALSE,"ATM"}</definedName>
    <definedName name="ｄｄｄ" hidden="1">{#N/A,#N/A,FALSE,"連絡先";#N/A,#N/A,FALSE,"ﾊｰﾄﾞｿﾌﾄ環境";#N/A,#N/A,FALSE,"IP･ﾌﾟﾛﾄｺﾙの設定";#N/A,#N/A,FALSE,"各種設定";#N/A,#N/A,FALSE,"OSPF";#N/A,#N/A,FALSE,"X25";#N/A,#N/A,FALSE,"FrameRelay";#N/A,#N/A,FALSE,"ATM"}</definedName>
    <definedName name="NewPCL" localSheetId="6">#REF!</definedName>
    <definedName name="NewPCL">Summary!$3:$3</definedName>
    <definedName name="NewPCL_Row" localSheetId="6">#REF!</definedName>
    <definedName name="NewPCL_Row">Summary!$14:$14</definedName>
    <definedName name="_xlnm.Print_Area" localSheetId="5">Clear_Click!$A$1:$AF$48</definedName>
    <definedName name="_xlnm.Print_Area" localSheetId="3">Page_Load!$A$1:$AF$57</definedName>
    <definedName name="_xlnm.Print_Area" localSheetId="4">Submit_Click!$A$1:$AF$98</definedName>
    <definedName name="_xlnm.Print_Area" localSheetId="1">Summary!$A$5:$AM$34</definedName>
    <definedName name="_xlnm.Print_Area" localSheetId="2">Template!$A$1:$AF$30</definedName>
    <definedName name="_xlnm.Print_Titles" localSheetId="5">Clear_Click!$1:$3</definedName>
    <definedName name="_xlnm.Print_Titles" localSheetId="3">Page_Load!$1:$3</definedName>
    <definedName name="_xlnm.Print_Titles" localSheetId="4">Submit_Click!$1:$3</definedName>
    <definedName name="_xlnm.Print_Titles" localSheetId="1">Summary!$5:$9</definedName>
    <definedName name="_xlnm.Print_Titles" localSheetId="2">Template!$1:$3</definedName>
    <definedName name="ｓｓ" localSheetId="6">{#N/A,#N/A,FALSE,"連絡先";#N/A,#N/A,FALSE,"ﾊｰﾄﾞｿﾌﾄ環境";#N/A,#N/A,FALSE,"IP･ﾌﾟﾛﾄｺﾙの設定";#N/A,#N/A,FALSE,"各種設定";#N/A,#N/A,FALSE,"OSPF";#N/A,#N/A,FALSE,"X25";#N/A,#N/A,FALSE,"FrameRelay";#N/A,#N/A,FALSE,"ATM"}</definedName>
    <definedName name="ｓｓ" localSheetId="3" hidden="1">{#N/A,#N/A,FALSE,"連絡先";#N/A,#N/A,FALSE,"ﾊｰﾄﾞｿﾌﾄ環境";#N/A,#N/A,FALSE,"IP･ﾌﾟﾛﾄｺﾙの設定";#N/A,#N/A,FALSE,"各種設定";#N/A,#N/A,FALSE,"OSPF";#N/A,#N/A,FALSE,"X25";#N/A,#N/A,FALSE,"FrameRelay";#N/A,#N/A,FALSE,"ATM"}</definedName>
    <definedName name="ｓｓ" hidden="1">{#N/A,#N/A,FALSE,"連絡先";#N/A,#N/A,FALSE,"ﾊｰﾄﾞｿﾌﾄ環境";#N/A,#N/A,FALSE,"IP･ﾌﾟﾛﾄｺﾙの設定";#N/A,#N/A,FALSE,"各種設定";#N/A,#N/A,FALSE,"OSPF";#N/A,#N/A,FALSE,"X25";#N/A,#N/A,FALSE,"FrameRelay";#N/A,#N/A,FALSE,"ATM"}</definedName>
    <definedName name="SummaryTB" localSheetId="6">#REF!</definedName>
    <definedName name="SummaryTB">Summary!$AI$15</definedName>
    <definedName name="SummaryTotal" localSheetId="6">#REF!</definedName>
    <definedName name="SummaryTotal">Summary!$B$15:$AL$16</definedName>
    <definedName name="SummaryTRNA" localSheetId="6">#REF!</definedName>
    <definedName name="SummaryTRNA">Summary!$X$15</definedName>
    <definedName name="SummaryTRNG" localSheetId="6">#REF!</definedName>
    <definedName name="SummaryTRNG">Summary!$R$15</definedName>
    <definedName name="SummaryTROK" localSheetId="6">#REF!</definedName>
    <definedName name="SummaryTROK">Summary!$O$15</definedName>
    <definedName name="SummaryTRPT" localSheetId="6">#REF!</definedName>
    <definedName name="SummaryTRPT">Summary!$U$15</definedName>
    <definedName name="SummaryTTC" localSheetId="6">#REF!</definedName>
    <definedName name="SummaryTTC">Summary!$K$15</definedName>
    <definedName name="SummaryTTD" localSheetId="6">#REF!</definedName>
    <definedName name="SummaryTTD">Summary!$AA$15</definedName>
    <definedName name="SummaryTTND" localSheetId="6">#REF!</definedName>
    <definedName name="SummaryTTND">Summary!$AE$15</definedName>
    <definedName name="TestResult" localSheetId="5">Clear_Click!$G$45</definedName>
    <definedName name="TestResult" localSheetId="3">Page_Load!$G$54</definedName>
    <definedName name="TestResult" localSheetId="4">Submit_Click!$G$95</definedName>
    <definedName name="TestResult">Template!$G$27</definedName>
    <definedName name="wrn.confshet." localSheetId="3" hidden="1">{#N/A,#N/A,FALSE,"連絡先";#N/A,#N/A,FALSE,"ﾊｰﾄﾞｿﾌﾄ環境";#N/A,#N/A,FALSE,"IP･ﾌﾟﾛﾄｺﾙの設定";#N/A,#N/A,FALSE,"各種設定";#N/A,#N/A,FALSE,"OSPF";#N/A,#N/A,FALSE,"X25";#N/A,#N/A,FALSE,"FrameRelay";#N/A,#N/A,FALSE,"ATM"}</definedName>
    <definedName name="wrn.confshet." hidden="1">{#N/A,#N/A,FALSE,"連絡先";#N/A,#N/A,FALSE,"ﾊｰﾄﾞｿﾌﾄ環境";#N/A,#N/A,FALSE,"IP･ﾌﾟﾛﾄｺﾙの設定";#N/A,#N/A,FALSE,"各種設定";#N/A,#N/A,FALSE,"OSPF";#N/A,#N/A,FALSE,"X25";#N/A,#N/A,FALSE,"FrameRelay";#N/A,#N/A,FALSE,"ATM"}</definedName>
    <definedName name="wrn_confshet_" localSheetId="6">{#N/A,#N/A,FALSE,"連絡先";#N/A,#N/A,FALSE,"ﾊｰﾄﾞｿﾌﾄ環境";#N/A,#N/A,FALSE,"IP･ﾌﾟﾛﾄｺﾙの設定";#N/A,#N/A,FALSE,"各種設定";#N/A,#N/A,FALSE,"OSPF";#N/A,#N/A,FALSE,"X25";#N/A,#N/A,FALSE,"FrameRelay";#N/A,#N/A,FALSE,"ATM"}</definedName>
    <definedName name="wrn_confshet_">{#N/A,#N/A,FALSE,"連絡先";#N/A,#N/A,FALSE,"ﾊｰﾄﾞｿﾌﾄ環境";#N/A,#N/A,FALSE,"IP･ﾌﾟﾛﾄｺﾙの設定";#N/A,#N/A,FALSE,"各種設定";#N/A,#N/A,FALSE,"OSPF";#N/A,#N/A,FALSE,"X25";#N/A,#N/A,FALSE,"FrameRelay";#N/A,#N/A,FALSE,"ATM"}</definedName>
    <definedName name="yu" localSheetId="6">{#N/A,#N/A,FALSE,"連絡先";#N/A,#N/A,FALSE,"ﾊｰﾄﾞｿﾌﾄ環境";#N/A,#N/A,FALSE,"IP･ﾌﾟﾛﾄｺﾙの設定";#N/A,#N/A,FALSE,"各種設定";#N/A,#N/A,FALSE,"OSPF";#N/A,#N/A,FALSE,"X25";#N/A,#N/A,FALSE,"FrameRelay";#N/A,#N/A,FALSE,"ATM"}</definedName>
    <definedName name="yu" localSheetId="3" hidden="1">{#N/A,#N/A,FALSE,"連絡先";#N/A,#N/A,FALSE,"ﾊｰﾄﾞｿﾌﾄ環境";#N/A,#N/A,FALSE,"IP･ﾌﾟﾛﾄｺﾙの設定";#N/A,#N/A,FALSE,"各種設定";#N/A,#N/A,FALSE,"OSPF";#N/A,#N/A,FALSE,"X25";#N/A,#N/A,FALSE,"FrameRelay";#N/A,#N/A,FALSE,"ATM"}</definedName>
    <definedName name="yu" hidden="1">{#N/A,#N/A,FALSE,"連絡先";#N/A,#N/A,FALSE,"ﾊｰﾄﾞｿﾌﾄ環境";#N/A,#N/A,FALSE,"IP･ﾌﾟﾛﾄｺﾙの設定";#N/A,#N/A,FALSE,"各種設定";#N/A,#N/A,FALSE,"OSPF";#N/A,#N/A,FALSE,"X25";#N/A,#N/A,FALSE,"FrameRelay";#N/A,#N/A,FALSE,"ATM"}</definedName>
    <definedName name="ハード" localSheetId="6">{#N/A,#N/A,FALSE,"連絡先";#N/A,#N/A,FALSE,"ﾊｰﾄﾞｿﾌﾄ環境";#N/A,#N/A,FALSE,"IP･ﾌﾟﾛﾄｺﾙの設定";#N/A,#N/A,FALSE,"各種設定";#N/A,#N/A,FALSE,"OSPF";#N/A,#N/A,FALSE,"X25";#N/A,#N/A,FALSE,"FrameRelay";#N/A,#N/A,FALSE,"ATM"}</definedName>
    <definedName name="ハード" localSheetId="3" hidden="1">{#N/A,#N/A,FALSE,"連絡先";#N/A,#N/A,FALSE,"ﾊｰﾄﾞｿﾌﾄ環境";#N/A,#N/A,FALSE,"IP･ﾌﾟﾛﾄｺﾙの設定";#N/A,#N/A,FALSE,"各種設定";#N/A,#N/A,FALSE,"OSPF";#N/A,#N/A,FALSE,"X25";#N/A,#N/A,FALSE,"FrameRelay";#N/A,#N/A,FALSE,"ATM"}</definedName>
    <definedName name="ハード" hidden="1">{#N/A,#N/A,FALSE,"連絡先";#N/A,#N/A,FALSE,"ﾊｰﾄﾞｿﾌﾄ環境";#N/A,#N/A,FALSE,"IP･ﾌﾟﾛﾄｺﾙの設定";#N/A,#N/A,FALSE,"各種設定";#N/A,#N/A,FALSE,"OSPF";#N/A,#N/A,FALSE,"X25";#N/A,#N/A,FALSE,"FrameRelay";#N/A,#N/A,FALSE,"ATM"}</definedName>
  </definedNames>
  <calcPr calcId="125725"/>
</workbook>
</file>

<file path=xl/calcChain.xml><?xml version="1.0" encoding="utf-8"?>
<calcChain xmlns="http://schemas.openxmlformats.org/spreadsheetml/2006/main">
  <c r="AI12" i="32"/>
  <c r="X12"/>
  <c r="U12"/>
  <c r="R12"/>
  <c r="O12"/>
  <c r="K12"/>
  <c r="AA12" l="1"/>
  <c r="AE12" s="1"/>
  <c r="AF27" i="78"/>
  <c r="AE27"/>
  <c r="AD27"/>
  <c r="AC27"/>
  <c r="AB27"/>
  <c r="AA27"/>
  <c r="Z27"/>
  <c r="Y27"/>
  <c r="X27"/>
  <c r="W27"/>
  <c r="V27"/>
  <c r="U27"/>
  <c r="T27"/>
  <c r="S27"/>
  <c r="F26"/>
  <c r="AF3"/>
  <c r="AE3"/>
  <c r="AD3"/>
  <c r="AC3"/>
  <c r="AB3"/>
  <c r="AA3"/>
  <c r="Z3"/>
  <c r="Y3"/>
  <c r="X3"/>
  <c r="W3"/>
  <c r="V3"/>
  <c r="U3"/>
  <c r="T3"/>
  <c r="S3"/>
  <c r="R3"/>
  <c r="Q3"/>
  <c r="AF47" i="75" l="1"/>
  <c r="AE47"/>
  <c r="AD47"/>
  <c r="AC47"/>
  <c r="AB47"/>
  <c r="AA47"/>
  <c r="Z47"/>
  <c r="Y47"/>
  <c r="X47"/>
  <c r="W47"/>
  <c r="V47"/>
  <c r="U47"/>
  <c r="T47"/>
  <c r="S47"/>
  <c r="AF3" l="1"/>
  <c r="AE3"/>
  <c r="AD3"/>
  <c r="AC3"/>
  <c r="AB3"/>
  <c r="AA3"/>
  <c r="Z3"/>
  <c r="Y3"/>
  <c r="X3"/>
  <c r="W3"/>
  <c r="V3"/>
  <c r="U3"/>
  <c r="T3"/>
  <c r="S3"/>
  <c r="R3"/>
  <c r="Q3"/>
  <c r="P3"/>
  <c r="O3"/>
  <c r="N3"/>
  <c r="M3"/>
  <c r="L3"/>
  <c r="K3"/>
  <c r="J3"/>
  <c r="I3"/>
  <c r="H3"/>
  <c r="K13" i="32"/>
  <c r="AI13"/>
  <c r="U13"/>
  <c r="X13"/>
  <c r="R13"/>
  <c r="O13"/>
  <c r="AA13" l="1"/>
  <c r="AE13" s="1"/>
  <c r="AF97" i="72"/>
  <c r="AE97"/>
  <c r="AD97"/>
  <c r="AC97"/>
  <c r="AB97"/>
  <c r="AA97"/>
  <c r="Z97"/>
  <c r="Y97"/>
  <c r="X97"/>
  <c r="W97"/>
  <c r="V97"/>
  <c r="U97"/>
  <c r="T97"/>
  <c r="S97"/>
  <c r="O11" i="32"/>
  <c r="X11"/>
  <c r="R11"/>
  <c r="U11"/>
  <c r="AI11"/>
  <c r="AA11" l="1"/>
  <c r="H3" i="72"/>
  <c r="I3" s="1"/>
  <c r="J3" s="1"/>
  <c r="K3" s="1"/>
  <c r="L3" s="1"/>
  <c r="M3" s="1"/>
  <c r="N3" s="1"/>
  <c r="O3" s="1"/>
  <c r="P3" s="1"/>
  <c r="Q3" s="1"/>
  <c r="R3" s="1"/>
  <c r="S3" s="1"/>
  <c r="T3" s="1"/>
  <c r="U3" s="1"/>
  <c r="V3" s="1"/>
  <c r="W3" s="1"/>
  <c r="X3" s="1"/>
  <c r="Y3" s="1"/>
  <c r="Z3" s="1"/>
  <c r="AA3" s="1"/>
  <c r="AB3" s="1"/>
  <c r="AC3" s="1"/>
  <c r="AD3" s="1"/>
  <c r="AE3" s="1"/>
  <c r="AF3" s="1"/>
  <c r="H3" i="71"/>
  <c r="I3" s="1"/>
  <c r="J3" s="1"/>
  <c r="K3" s="1"/>
  <c r="L3" s="1"/>
  <c r="M3" s="1"/>
  <c r="N3" s="1"/>
  <c r="O3" s="1"/>
  <c r="P3" s="1"/>
  <c r="Q3" s="1"/>
  <c r="R3" s="1"/>
  <c r="S3" s="1"/>
  <c r="T3" s="1"/>
  <c r="U3" s="1"/>
  <c r="V3" s="1"/>
  <c r="W3" s="1"/>
  <c r="X3" s="1"/>
  <c r="Y3" s="1"/>
  <c r="Z3" s="1"/>
  <c r="AA3" s="1"/>
  <c r="AB3" s="1"/>
  <c r="AC3" s="1"/>
  <c r="AD3" s="1"/>
  <c r="AE3" s="1"/>
  <c r="AF3"/>
  <c r="S56"/>
  <c r="T56"/>
  <c r="U56"/>
  <c r="V56"/>
  <c r="W56"/>
  <c r="X56"/>
  <c r="Y56"/>
  <c r="Z56"/>
  <c r="AA56"/>
  <c r="AB56"/>
  <c r="AC56"/>
  <c r="AD56"/>
  <c r="AE56"/>
  <c r="AF56"/>
  <c r="K3" i="32"/>
  <c r="O3"/>
  <c r="R3"/>
  <c r="U3"/>
  <c r="X3"/>
  <c r="AF29" i="21"/>
  <c r="AE29"/>
  <c r="AD29"/>
  <c r="AC29"/>
  <c r="AB29"/>
  <c r="AA29"/>
  <c r="Z29"/>
  <c r="Y29"/>
  <c r="X29"/>
  <c r="W29"/>
  <c r="V29"/>
  <c r="U29"/>
  <c r="T29"/>
  <c r="S29"/>
  <c r="AF3"/>
  <c r="AE3"/>
  <c r="AD3"/>
  <c r="AC3"/>
  <c r="AB3"/>
  <c r="AA3"/>
  <c r="Z3"/>
  <c r="Y3"/>
  <c r="X3"/>
  <c r="W3"/>
  <c r="V3"/>
  <c r="U3"/>
  <c r="T3"/>
  <c r="S3"/>
  <c r="R3"/>
  <c r="Q3"/>
  <c r="P3"/>
  <c r="O3"/>
  <c r="N3"/>
  <c r="M3"/>
  <c r="L3"/>
  <c r="K3"/>
  <c r="J3"/>
  <c r="I3"/>
  <c r="H3"/>
  <c r="AI3" i="32"/>
  <c r="F28" i="21"/>
  <c r="AI10" i="32"/>
  <c r="R10"/>
  <c r="K10"/>
  <c r="O10"/>
  <c r="K11"/>
  <c r="U10"/>
  <c r="X10"/>
  <c r="AE11" l="1"/>
  <c r="AA3"/>
  <c r="AE3" s="1"/>
  <c r="U15"/>
  <c r="X15"/>
  <c r="K15"/>
  <c r="AI15"/>
  <c r="AA10"/>
  <c r="AA15" s="1"/>
  <c r="O15"/>
  <c r="R15"/>
  <c r="R16" l="1"/>
  <c r="AA16"/>
  <c r="U16"/>
  <c r="O16"/>
  <c r="X16"/>
  <c r="AE10"/>
  <c r="AE15" s="1"/>
  <c r="AE16" s="1"/>
</calcChain>
</file>

<file path=xl/comments1.xml><?xml version="1.0" encoding="utf-8"?>
<comments xmlns="http://schemas.openxmlformats.org/spreadsheetml/2006/main">
  <authors>
    <author>sangeeta</author>
  </authors>
  <commentList>
    <comment ref="R9" authorId="0">
      <text>
        <r>
          <rPr>
            <b/>
            <sz val="8"/>
            <color indexed="81"/>
            <rFont val="Tahoma"/>
            <family val="2"/>
          </rPr>
          <t>Not Good</t>
        </r>
      </text>
    </comment>
    <comment ref="U9" authorId="0">
      <text>
        <r>
          <rPr>
            <b/>
            <sz val="8"/>
            <color indexed="81"/>
            <rFont val="Tahoma"/>
            <family val="2"/>
          </rPr>
          <t>Testing Pending</t>
        </r>
      </text>
    </comment>
    <comment ref="X9" authorId="0">
      <text>
        <r>
          <rPr>
            <b/>
            <sz val="8"/>
            <color indexed="81"/>
            <rFont val="Tahoma"/>
            <family val="2"/>
          </rPr>
          <t>Not Applicable</t>
        </r>
      </text>
    </comment>
  </commentList>
</comments>
</file>

<file path=xl/comments2.xml><?xml version="1.0" encoding="utf-8"?>
<comments xmlns="http://schemas.openxmlformats.org/spreadsheetml/2006/main">
  <authors>
    <author>chetan</author>
  </authors>
  <commentList>
    <comment ref="AA1" authorId="0">
      <text>
        <r>
          <rPr>
            <sz val="8"/>
            <color indexed="81"/>
            <rFont val="Tahoma"/>
            <family val="2"/>
          </rPr>
          <t xml:space="preserve">Creation date in 
</t>
        </r>
        <r>
          <rPr>
            <b/>
            <sz val="8"/>
            <color indexed="81"/>
            <rFont val="Tahoma"/>
            <family val="2"/>
          </rPr>
          <t>yyyy/mm/dd</t>
        </r>
        <r>
          <rPr>
            <sz val="8"/>
            <color indexed="81"/>
            <rFont val="Tahoma"/>
            <family val="2"/>
          </rPr>
          <t xml:space="preserve"> format</t>
        </r>
      </text>
    </comment>
    <comment ref="B4" authorId="0">
      <text>
        <r>
          <rPr>
            <sz val="8"/>
            <color indexed="81"/>
            <rFont val="Tahoma"/>
            <family val="2"/>
          </rPr>
          <t>Function for which PCL
is to be created</t>
        </r>
      </text>
    </comment>
    <comment ref="B5" authorId="0">
      <text>
        <r>
          <rPr>
            <sz val="8"/>
            <color indexed="81"/>
            <rFont val="Tahoma"/>
            <family val="2"/>
          </rPr>
          <t xml:space="preserve">Name of the function from which this function is called </t>
        </r>
        <r>
          <rPr>
            <b/>
            <sz val="8"/>
            <color indexed="81"/>
            <rFont val="Tahoma"/>
            <family val="2"/>
          </rPr>
          <t>OR</t>
        </r>
        <r>
          <rPr>
            <sz val="8"/>
            <color indexed="81"/>
            <rFont val="Tahoma"/>
            <family val="2"/>
          </rPr>
          <t xml:space="preserve">
Description of the event when this function is called</t>
        </r>
      </text>
    </comment>
  </commentList>
</comments>
</file>

<file path=xl/comments3.xml><?xml version="1.0" encoding="utf-8"?>
<comments xmlns="http://schemas.openxmlformats.org/spreadsheetml/2006/main">
  <authors>
    <author>chetan</author>
  </authors>
  <commentList>
    <comment ref="AA1" authorId="0">
      <text>
        <r>
          <rPr>
            <sz val="8"/>
            <color indexed="81"/>
            <rFont val="Tahoma"/>
            <family val="2"/>
          </rPr>
          <t xml:space="preserve">Creation date in 
</t>
        </r>
        <r>
          <rPr>
            <b/>
            <sz val="8"/>
            <color indexed="81"/>
            <rFont val="Tahoma"/>
            <family val="2"/>
          </rPr>
          <t>yyyy/mm/dd</t>
        </r>
        <r>
          <rPr>
            <sz val="8"/>
            <color indexed="81"/>
            <rFont val="Tahoma"/>
            <family val="2"/>
          </rPr>
          <t xml:space="preserve"> format</t>
        </r>
      </text>
    </comment>
    <comment ref="B4" authorId="0">
      <text>
        <r>
          <rPr>
            <sz val="8"/>
            <color indexed="81"/>
            <rFont val="Tahoma"/>
            <family val="2"/>
          </rPr>
          <t>Function for which PCL
is to be created</t>
        </r>
      </text>
    </comment>
    <comment ref="B5" authorId="0">
      <text>
        <r>
          <rPr>
            <sz val="8"/>
            <color indexed="81"/>
            <rFont val="Tahoma"/>
            <family val="2"/>
          </rPr>
          <t xml:space="preserve">Name of the function from which this function is called </t>
        </r>
        <r>
          <rPr>
            <b/>
            <sz val="8"/>
            <color indexed="81"/>
            <rFont val="Tahoma"/>
            <family val="2"/>
          </rPr>
          <t>OR</t>
        </r>
        <r>
          <rPr>
            <sz val="8"/>
            <color indexed="81"/>
            <rFont val="Tahoma"/>
            <family val="2"/>
          </rPr>
          <t xml:space="preserve">
Description of the event when this function is called</t>
        </r>
      </text>
    </comment>
  </commentList>
</comments>
</file>

<file path=xl/comments4.xml><?xml version="1.0" encoding="utf-8"?>
<comments xmlns="http://schemas.openxmlformats.org/spreadsheetml/2006/main">
  <authors>
    <author>chetan</author>
  </authors>
  <commentList>
    <comment ref="AA1" authorId="0">
      <text>
        <r>
          <rPr>
            <sz val="8"/>
            <color indexed="81"/>
            <rFont val="Tahoma"/>
            <family val="2"/>
          </rPr>
          <t xml:space="preserve">Creation date in 
</t>
        </r>
        <r>
          <rPr>
            <b/>
            <sz val="8"/>
            <color indexed="81"/>
            <rFont val="Tahoma"/>
            <family val="2"/>
          </rPr>
          <t>yyyy/mm/dd</t>
        </r>
        <r>
          <rPr>
            <sz val="8"/>
            <color indexed="81"/>
            <rFont val="Tahoma"/>
            <family val="2"/>
          </rPr>
          <t xml:space="preserve"> format</t>
        </r>
      </text>
    </comment>
    <comment ref="B4" authorId="0">
      <text>
        <r>
          <rPr>
            <sz val="8"/>
            <color indexed="81"/>
            <rFont val="Tahoma"/>
            <family val="2"/>
          </rPr>
          <t>Function for which PCL
is to be created</t>
        </r>
      </text>
    </comment>
    <comment ref="B5" authorId="0">
      <text>
        <r>
          <rPr>
            <sz val="8"/>
            <color indexed="81"/>
            <rFont val="Tahoma"/>
            <family val="2"/>
          </rPr>
          <t xml:space="preserve">Name of the function from which this function is called </t>
        </r>
        <r>
          <rPr>
            <b/>
            <sz val="8"/>
            <color indexed="81"/>
            <rFont val="Tahoma"/>
            <family val="2"/>
          </rPr>
          <t>OR</t>
        </r>
        <r>
          <rPr>
            <sz val="8"/>
            <color indexed="81"/>
            <rFont val="Tahoma"/>
            <family val="2"/>
          </rPr>
          <t xml:space="preserve">
Description of the event when this function is called</t>
        </r>
      </text>
    </comment>
  </commentList>
</comments>
</file>

<file path=xl/comments5.xml><?xml version="1.0" encoding="utf-8"?>
<comments xmlns="http://schemas.openxmlformats.org/spreadsheetml/2006/main">
  <authors>
    <author>chetan</author>
  </authors>
  <commentList>
    <comment ref="AA1" authorId="0">
      <text>
        <r>
          <rPr>
            <sz val="8"/>
            <color indexed="81"/>
            <rFont val="Tahoma"/>
            <family val="2"/>
          </rPr>
          <t xml:space="preserve">Creation date in 
</t>
        </r>
        <r>
          <rPr>
            <b/>
            <sz val="8"/>
            <color indexed="81"/>
            <rFont val="Tahoma"/>
            <family val="2"/>
          </rPr>
          <t>yyyy/mm/dd</t>
        </r>
        <r>
          <rPr>
            <sz val="8"/>
            <color indexed="81"/>
            <rFont val="Tahoma"/>
            <family val="2"/>
          </rPr>
          <t xml:space="preserve"> format</t>
        </r>
      </text>
    </comment>
    <comment ref="B4" authorId="0">
      <text>
        <r>
          <rPr>
            <sz val="8"/>
            <color indexed="81"/>
            <rFont val="Tahoma"/>
            <family val="2"/>
          </rPr>
          <t>Function for which PCL
is to be created</t>
        </r>
      </text>
    </comment>
    <comment ref="B5" authorId="0">
      <text>
        <r>
          <rPr>
            <sz val="8"/>
            <color indexed="81"/>
            <rFont val="Tahoma"/>
            <family val="2"/>
          </rPr>
          <t xml:space="preserve">Name of the function from which this function is called </t>
        </r>
        <r>
          <rPr>
            <b/>
            <sz val="8"/>
            <color indexed="81"/>
            <rFont val="Tahoma"/>
            <family val="2"/>
          </rPr>
          <t>OR</t>
        </r>
        <r>
          <rPr>
            <sz val="8"/>
            <color indexed="81"/>
            <rFont val="Tahoma"/>
            <family val="2"/>
          </rPr>
          <t xml:space="preserve">
Description of the event when this function is called</t>
        </r>
      </text>
    </comment>
  </commentList>
</comments>
</file>

<file path=xl/comments6.xml><?xml version="1.0" encoding="utf-8"?>
<comments xmlns="http://schemas.openxmlformats.org/spreadsheetml/2006/main">
  <authors>
    <author/>
  </authors>
  <commentList>
    <comment ref="AA1" authorId="0">
      <text>
        <r>
          <rPr>
            <sz val="8"/>
            <color indexed="8"/>
            <rFont val="Tahoma"/>
            <family val="2"/>
            <charset val="128"/>
          </rPr>
          <t xml:space="preserve">Creation date in 
</t>
        </r>
        <r>
          <rPr>
            <b/>
            <sz val="8"/>
            <color indexed="8"/>
            <rFont val="Tahoma"/>
            <family val="2"/>
            <charset val="128"/>
          </rPr>
          <t>yyyy/mm/dd</t>
        </r>
        <r>
          <rPr>
            <sz val="8"/>
            <color indexed="8"/>
            <rFont val="Tahoma"/>
            <family val="2"/>
            <charset val="128"/>
          </rPr>
          <t xml:space="preserve"> format</t>
        </r>
      </text>
    </comment>
    <comment ref="I2" authorId="0">
      <text>
        <r>
          <rPr>
            <sz val="8"/>
            <color indexed="8"/>
            <rFont val="Tahoma"/>
            <family val="2"/>
            <charset val="128"/>
          </rPr>
          <t>Function for which PCL
is to be created</t>
        </r>
      </text>
    </comment>
    <comment ref="B4" authorId="0">
      <text>
        <r>
          <rPr>
            <sz val="8"/>
            <color indexed="8"/>
            <rFont val="Tahoma"/>
            <family val="2"/>
            <charset val="128"/>
          </rPr>
          <t>Function for which PCL
is to be created</t>
        </r>
      </text>
    </comment>
    <comment ref="B5" authorId="0">
      <text>
        <r>
          <rPr>
            <sz val="8"/>
            <color indexed="8"/>
            <rFont val="Tahoma"/>
            <family val="2"/>
            <charset val="128"/>
          </rPr>
          <t xml:space="preserve">Name of the function from which this function is called </t>
        </r>
        <r>
          <rPr>
            <b/>
            <sz val="8"/>
            <color indexed="8"/>
            <rFont val="Tahoma"/>
            <family val="2"/>
            <charset val="128"/>
          </rPr>
          <t xml:space="preserve">OR
</t>
        </r>
        <r>
          <rPr>
            <sz val="8"/>
            <color indexed="8"/>
            <rFont val="Tahoma"/>
            <family val="2"/>
            <charset val="128"/>
          </rPr>
          <t>Description of the event when this function is called</t>
        </r>
      </text>
    </comment>
  </commentList>
</comments>
</file>

<file path=xl/sharedStrings.xml><?xml version="1.0" encoding="utf-8"?>
<sst xmlns="http://schemas.openxmlformats.org/spreadsheetml/2006/main" count="1046" uniqueCount="232">
  <si>
    <t>Creators Name</t>
    <phoneticPr fontId="3"/>
  </si>
  <si>
    <t>Test Result</t>
    <phoneticPr fontId="3"/>
  </si>
  <si>
    <t>Total</t>
    <phoneticPr fontId="3"/>
  </si>
  <si>
    <t>% of Total</t>
    <phoneticPr fontId="3"/>
  </si>
  <si>
    <t>Module Code</t>
    <phoneticPr fontId="3"/>
  </si>
  <si>
    <t>Project Code</t>
    <phoneticPr fontId="3"/>
  </si>
  <si>
    <t>&lt;Project Name&gt;</t>
    <phoneticPr fontId="3"/>
  </si>
  <si>
    <t>&lt;Module Name&gt;</t>
    <phoneticPr fontId="3"/>
  </si>
  <si>
    <t>&lt;code&gt;</t>
    <phoneticPr fontId="3"/>
  </si>
  <si>
    <t>&lt;Person Name&gt;</t>
    <phoneticPr fontId="3"/>
  </si>
  <si>
    <t>Date</t>
    <phoneticPr fontId="3"/>
  </si>
  <si>
    <t>&lt;Function Name&gt;</t>
    <phoneticPr fontId="3"/>
  </si>
  <si>
    <t>Page</t>
    <phoneticPr fontId="3"/>
  </si>
  <si>
    <t>1</t>
    <phoneticPr fontId="3"/>
  </si>
  <si>
    <t>New PCL</t>
    <phoneticPr fontId="3"/>
  </si>
  <si>
    <t>No</t>
    <phoneticPr fontId="3"/>
  </si>
  <si>
    <t>Function Name</t>
    <phoneticPr fontId="3"/>
  </si>
  <si>
    <t>OK</t>
    <phoneticPr fontId="3"/>
  </si>
  <si>
    <t>NG</t>
    <phoneticPr fontId="3"/>
  </si>
  <si>
    <t>PT</t>
    <phoneticPr fontId="3"/>
  </si>
  <si>
    <t>NA</t>
    <phoneticPr fontId="3"/>
  </si>
  <si>
    <t>Method Name</t>
    <phoneticPr fontId="3"/>
  </si>
  <si>
    <t>Caller function / Event</t>
    <phoneticPr fontId="3"/>
  </si>
  <si>
    <t>①</t>
    <phoneticPr fontId="3"/>
  </si>
  <si>
    <t>②</t>
    <phoneticPr fontId="3"/>
  </si>
  <si>
    <t>Verification of path flow during program execution</t>
    <phoneticPr fontId="3"/>
  </si>
  <si>
    <r>
      <t>CP</t>
    </r>
    <r>
      <rPr>
        <sz val="9"/>
        <rFont val="ＭＳ Ｐゴシック"/>
        <family val="3"/>
        <charset val="128"/>
      </rPr>
      <t>①</t>
    </r>
    <r>
      <rPr>
        <sz val="9"/>
        <rFont val="Times New Roman"/>
        <family val="1"/>
      </rPr>
      <t xml:space="preserve"> is executed.</t>
    </r>
    <phoneticPr fontId="3"/>
  </si>
  <si>
    <r>
      <t>CP</t>
    </r>
    <r>
      <rPr>
        <sz val="9"/>
        <rFont val="ＭＳ Ｐゴシック"/>
        <family val="3"/>
        <charset val="128"/>
      </rPr>
      <t>①</t>
    </r>
    <r>
      <rPr>
        <sz val="9"/>
        <rFont val="Times New Roman"/>
        <family val="1"/>
      </rPr>
      <t xml:space="preserve"> is not executed.</t>
    </r>
    <phoneticPr fontId="3"/>
  </si>
  <si>
    <r>
      <t>CP</t>
    </r>
    <r>
      <rPr>
        <sz val="9"/>
        <rFont val="ＭＳ Ｐゴシック"/>
        <family val="3"/>
        <charset val="128"/>
      </rPr>
      <t>②</t>
    </r>
    <r>
      <rPr>
        <sz val="9"/>
        <rFont val="Times New Roman"/>
        <family val="1"/>
      </rPr>
      <t xml:space="preserve"> is executed.</t>
    </r>
    <phoneticPr fontId="3"/>
  </si>
  <si>
    <r>
      <t>CP</t>
    </r>
    <r>
      <rPr>
        <sz val="9"/>
        <rFont val="ＭＳ Ｐゴシック"/>
        <family val="3"/>
        <charset val="128"/>
      </rPr>
      <t>③</t>
    </r>
    <r>
      <rPr>
        <sz val="9"/>
        <rFont val="Times New Roman"/>
        <family val="1"/>
      </rPr>
      <t xml:space="preserve"> is executed.</t>
    </r>
    <phoneticPr fontId="3"/>
  </si>
  <si>
    <t>Bug Count</t>
    <phoneticPr fontId="3"/>
  </si>
  <si>
    <t>Test Cases</t>
    <phoneticPr fontId="3"/>
  </si>
  <si>
    <t>Done</t>
    <phoneticPr fontId="3"/>
  </si>
  <si>
    <t>Total Test</t>
    <phoneticPr fontId="3"/>
  </si>
  <si>
    <t>Not Done</t>
    <phoneticPr fontId="3"/>
  </si>
  <si>
    <t>Total Bugs</t>
    <phoneticPr fontId="3"/>
  </si>
  <si>
    <t>Condition Type</t>
    <phoneticPr fontId="3"/>
  </si>
  <si>
    <t>Tested By</t>
    <phoneticPr fontId="3"/>
  </si>
  <si>
    <t>Test Date</t>
    <phoneticPr fontId="3"/>
  </si>
  <si>
    <t>Test Result</t>
    <phoneticPr fontId="3"/>
  </si>
  <si>
    <t>Bug ID</t>
    <phoneticPr fontId="3"/>
  </si>
  <si>
    <t xml:space="preserve"> </t>
    <phoneticPr fontId="3"/>
  </si>
  <si>
    <t>Check Conditions / Verification Content</t>
    <phoneticPr fontId="3"/>
  </si>
  <si>
    <t xml:space="preserve">Test Case Number </t>
    <phoneticPr fontId="3"/>
  </si>
  <si>
    <t>Input 
Conditions</t>
    <phoneticPr fontId="3"/>
  </si>
  <si>
    <t>Check Items</t>
    <phoneticPr fontId="3"/>
  </si>
  <si>
    <t>Test Status</t>
    <phoneticPr fontId="3"/>
  </si>
  <si>
    <t>Bug Details</t>
    <phoneticPr fontId="3"/>
  </si>
  <si>
    <t>Click "Add New PCL" button, 
to add new PCL sheet</t>
    <phoneticPr fontId="3"/>
  </si>
  <si>
    <t>Page_Load</t>
  </si>
  <si>
    <t>Clickable</t>
  </si>
  <si>
    <t>B</t>
  </si>
  <si>
    <t>N</t>
  </si>
  <si>
    <t>A</t>
  </si>
  <si>
    <t>Submit_Click</t>
  </si>
  <si>
    <t>Male</t>
  </si>
  <si>
    <t>Day</t>
  </si>
  <si>
    <t>Verification of path flow during program execution</t>
  </si>
  <si>
    <t xml:space="preserve"> </t>
  </si>
  <si>
    <t>Cloud Computing</t>
  </si>
  <si>
    <t>Project Code</t>
  </si>
  <si>
    <t>Creators Name</t>
  </si>
  <si>
    <t>Date</t>
  </si>
  <si>
    <t>Module Code</t>
  </si>
  <si>
    <t>Check Conditions / Verification Content</t>
  </si>
  <si>
    <t xml:space="preserve">Test Case Number </t>
  </si>
  <si>
    <t>Input 
Conditions</t>
  </si>
  <si>
    <t>Salutation</t>
  </si>
  <si>
    <t>Mr.</t>
  </si>
  <si>
    <t>First Name</t>
  </si>
  <si>
    <t>Blank</t>
  </si>
  <si>
    <t>Middle Name</t>
  </si>
  <si>
    <t>Last Name</t>
  </si>
  <si>
    <t>Password</t>
  </si>
  <si>
    <t>Sex</t>
  </si>
  <si>
    <t>Female</t>
  </si>
  <si>
    <t>Mail ID</t>
  </si>
  <si>
    <t>Birthdate</t>
  </si>
  <si>
    <t>Month</t>
  </si>
  <si>
    <t>Address</t>
  </si>
  <si>
    <t>Areas of Interest</t>
  </si>
  <si>
    <t>Web Programming</t>
  </si>
  <si>
    <t>Database Programming</t>
  </si>
  <si>
    <t>Swing Programming</t>
  </si>
  <si>
    <t>Mobile Programming</t>
  </si>
  <si>
    <t>Other Interests</t>
  </si>
  <si>
    <t>Submit Button Click</t>
  </si>
  <si>
    <t>Exception Occurred</t>
  </si>
  <si>
    <t>Exception</t>
  </si>
  <si>
    <t>Check Items</t>
  </si>
  <si>
    <t>Below error message is displayed</t>
  </si>
  <si>
    <t>Please Enter the Last Name</t>
  </si>
  <si>
    <t>Please Enter the Password</t>
  </si>
  <si>
    <t>Please Select or enter Interest</t>
  </si>
  <si>
    <t>Test Status</t>
  </si>
  <si>
    <t>Condition Type</t>
  </si>
  <si>
    <t>Tested By</t>
  </si>
  <si>
    <t>Test Date</t>
  </si>
  <si>
    <t>Test Result</t>
  </si>
  <si>
    <t>Bug Details</t>
  </si>
  <si>
    <t>Bug ID</t>
  </si>
  <si>
    <t>Bug Count</t>
  </si>
  <si>
    <t>Clear_Click</t>
  </si>
  <si>
    <t>Clear Button Click</t>
  </si>
  <si>
    <t>Email ID</t>
  </si>
  <si>
    <t>Birth Year</t>
  </si>
  <si>
    <t>Birth Month</t>
  </si>
  <si>
    <t>Birth Date</t>
  </si>
  <si>
    <t>Unchecked</t>
  </si>
  <si>
    <t>Page</t>
    <phoneticPr fontId="4"/>
  </si>
  <si>
    <t>Page_load</t>
  </si>
  <si>
    <t>2</t>
  </si>
  <si>
    <t>Birth Date*</t>
  </si>
  <si>
    <t>UserDetails.jsp</t>
  </si>
  <si>
    <t>UserDetails..java</t>
  </si>
  <si>
    <t>UserDetails..jsp</t>
  </si>
  <si>
    <t>Checkable</t>
  </si>
  <si>
    <t>blank</t>
  </si>
  <si>
    <t>3</t>
  </si>
  <si>
    <t>Label</t>
  </si>
  <si>
    <t>Last Name*</t>
  </si>
  <si>
    <t>Page will be redirected to error page</t>
  </si>
  <si>
    <t xml:space="preserve">Year </t>
  </si>
  <si>
    <t>Please Select Your Gender : Male or Female</t>
  </si>
  <si>
    <t>Please Select Birth Year</t>
  </si>
  <si>
    <t>Please Select Birth Month</t>
  </si>
  <si>
    <t>Please Select Birth Day</t>
  </si>
  <si>
    <t>Please enter correct Email Id</t>
  </si>
  <si>
    <t>Page</t>
  </si>
  <si>
    <t>1</t>
  </si>
  <si>
    <t>Password*</t>
  </si>
  <si>
    <t>First Name*</t>
  </si>
  <si>
    <t>Sex*</t>
  </si>
  <si>
    <t>Year</t>
  </si>
  <si>
    <t>Areas of Interest*</t>
  </si>
  <si>
    <t>Header Text</t>
  </si>
  <si>
    <t>Page Title</t>
  </si>
  <si>
    <t>Operation Button</t>
  </si>
  <si>
    <t>Submit</t>
  </si>
  <si>
    <t>Clear</t>
  </si>
  <si>
    <t xml:space="preserve">Exception  </t>
  </si>
  <si>
    <t>Element</t>
  </si>
  <si>
    <t>Editable</t>
  </si>
  <si>
    <t>Selectable</t>
  </si>
  <si>
    <t>Visible</t>
  </si>
  <si>
    <t>True</t>
  </si>
  <si>
    <t>Personal Details</t>
  </si>
  <si>
    <t>Default</t>
  </si>
  <si>
    <t xml:space="preserve"> -</t>
  </si>
  <si>
    <t>Redirect Page to</t>
  </si>
  <si>
    <t xml:space="preserve"> Registration Successful page  </t>
  </si>
  <si>
    <t xml:space="preserve"> Error page  </t>
  </si>
  <si>
    <t>[JVS : Skillup_JSP]</t>
    <phoneticPr fontId="3"/>
  </si>
  <si>
    <t>1234</t>
    <phoneticPr fontId="3"/>
  </si>
  <si>
    <t xml:space="preserve">  " "  </t>
    <phoneticPr fontId="3"/>
  </si>
  <si>
    <t>Please Enter the First Name</t>
    <phoneticPr fontId="3"/>
  </si>
  <si>
    <t>Password  must contain atleast 6 or more character</t>
    <phoneticPr fontId="3"/>
  </si>
  <si>
    <t>OK</t>
  </si>
  <si>
    <t>Screen shoot 1:</t>
    <phoneticPr fontId="3"/>
  </si>
  <si>
    <t xml:space="preserve">Page Load </t>
    <phoneticPr fontId="3"/>
  </si>
  <si>
    <t>Screen shoot 2:</t>
    <phoneticPr fontId="3"/>
  </si>
  <si>
    <t xml:space="preserve">Error Message </t>
    <phoneticPr fontId="3"/>
  </si>
  <si>
    <t>Screen shoot 3:</t>
    <phoneticPr fontId="3"/>
  </si>
  <si>
    <t>Successfully display data and save to database</t>
    <phoneticPr fontId="3"/>
  </si>
  <si>
    <t>かいぁｓ</t>
    <phoneticPr fontId="3"/>
  </si>
  <si>
    <t>ぁんｄげ</t>
    <phoneticPr fontId="3"/>
  </si>
  <si>
    <t>あうらんがばｄ</t>
    <phoneticPr fontId="3"/>
  </si>
  <si>
    <t>だ</t>
    <phoneticPr fontId="3"/>
  </si>
  <si>
    <t>Assignment4</t>
    <phoneticPr fontId="3"/>
  </si>
  <si>
    <t>Input Screen</t>
    <phoneticPr fontId="23"/>
  </si>
  <si>
    <t>Output Screen</t>
    <phoneticPr fontId="23"/>
  </si>
  <si>
    <t>Refer to the previous exercise. After saving the values, display the values in the browser using this servlet to generate the HTML output.</t>
    <phoneticPr fontId="3"/>
  </si>
  <si>
    <t>JVS</t>
    <phoneticPr fontId="3"/>
  </si>
  <si>
    <t>User Details</t>
    <phoneticPr fontId="3"/>
  </si>
  <si>
    <t>Varad Paralikar</t>
    <phoneticPr fontId="3"/>
  </si>
  <si>
    <t>User Name*</t>
    <phoneticPr fontId="3"/>
  </si>
  <si>
    <t>VP</t>
    <phoneticPr fontId="3"/>
  </si>
  <si>
    <t>〇</t>
  </si>
  <si>
    <t xml:space="preserve"> 〇</t>
  </si>
  <si>
    <t>Username</t>
    <phoneticPr fontId="3"/>
  </si>
  <si>
    <t>Username must contain atleast 4 or more character</t>
    <phoneticPr fontId="3"/>
  </si>
  <si>
    <t>Please Enter the Username</t>
    <phoneticPr fontId="3"/>
  </si>
  <si>
    <t>vsp</t>
    <phoneticPr fontId="3"/>
  </si>
  <si>
    <t>vsp123</t>
    <phoneticPr fontId="3"/>
  </si>
  <si>
    <t>vsp@123</t>
    <phoneticPr fontId="3"/>
  </si>
  <si>
    <t>vsp@gmail.com</t>
    <phoneticPr fontId="3"/>
  </si>
  <si>
    <t>vsp123@gmail.com</t>
    <phoneticPr fontId="3"/>
  </si>
  <si>
    <t>UserDetailsC</t>
    <phoneticPr fontId="3"/>
  </si>
  <si>
    <t xml:space="preserve">userdetails.Salutation : </t>
    <phoneticPr fontId="3"/>
  </si>
  <si>
    <t xml:space="preserve">userdetails.Email_ID : </t>
    <phoneticPr fontId="3"/>
  </si>
  <si>
    <t xml:space="preserve">userdetails.Address : </t>
    <phoneticPr fontId="3"/>
  </si>
  <si>
    <t>JSP And Servlet Skillup</t>
    <phoneticPr fontId="3"/>
  </si>
  <si>
    <t>JSP And Servlet Skillup</t>
    <phoneticPr fontId="3"/>
  </si>
  <si>
    <t>s</t>
    <phoneticPr fontId="3"/>
  </si>
  <si>
    <t xml:space="preserve">userdetails.Middlename : </t>
    <phoneticPr fontId="3"/>
  </si>
  <si>
    <t>JVS</t>
    <phoneticPr fontId="23"/>
  </si>
  <si>
    <t>Varad Paralikar</t>
    <phoneticPr fontId="23"/>
  </si>
  <si>
    <t>File Uploader</t>
    <phoneticPr fontId="23"/>
  </si>
  <si>
    <t>4</t>
    <phoneticPr fontId="3"/>
  </si>
  <si>
    <t>GoBack_Click</t>
    <phoneticPr fontId="23"/>
  </si>
  <si>
    <t>1 Go Back Button Click</t>
    <phoneticPr fontId="23"/>
  </si>
  <si>
    <t>O</t>
    <phoneticPr fontId="23"/>
  </si>
  <si>
    <t>VP</t>
    <phoneticPr fontId="23"/>
  </si>
  <si>
    <t>Assignment 4</t>
    <phoneticPr fontId="23"/>
  </si>
  <si>
    <t>JSP And Servlet Skill Up</t>
    <phoneticPr fontId="23"/>
  </si>
  <si>
    <t>1 Redirect To UserDetails.jsp Page</t>
    <phoneticPr fontId="23"/>
  </si>
  <si>
    <t>Display.jsp</t>
    <phoneticPr fontId="23"/>
  </si>
  <si>
    <t>Inputted data will be display on Display.jsp page:      DatabaseName  : northwind_varad</t>
    <phoneticPr fontId="3"/>
  </si>
  <si>
    <t>userdetails.Salutation : Mr.</t>
    <phoneticPr fontId="3"/>
  </si>
  <si>
    <t xml:space="preserve">Inputted data will be display on Display.jsp page:      </t>
    <phoneticPr fontId="3"/>
  </si>
  <si>
    <t>userdetails.Salutation : Mr.</t>
    <phoneticPr fontId="3"/>
  </si>
  <si>
    <r>
      <t xml:space="preserve">userdetails.FirstName : </t>
    </r>
    <r>
      <rPr>
        <sz val="9"/>
        <rFont val="ＭＳ Ｐ明朝"/>
        <family val="1"/>
        <charset val="128"/>
      </rPr>
      <t>かいぁｓ</t>
    </r>
    <phoneticPr fontId="3"/>
  </si>
  <si>
    <r>
      <t xml:space="preserve">userdetails.FirstName : </t>
    </r>
    <r>
      <rPr>
        <sz val="14"/>
        <rFont val="ＭＳ Ｐ明朝"/>
        <family val="1"/>
        <charset val="128"/>
      </rPr>
      <t>かいぁｓ</t>
    </r>
    <phoneticPr fontId="3"/>
  </si>
  <si>
    <r>
      <t xml:space="preserve">userdetails.Middlename : </t>
    </r>
    <r>
      <rPr>
        <sz val="9"/>
        <rFont val="ＭＳ Ｐ明朝"/>
        <family val="1"/>
        <charset val="128"/>
      </rPr>
      <t>だ</t>
    </r>
    <phoneticPr fontId="3"/>
  </si>
  <si>
    <r>
      <t xml:space="preserve">userdetails.Middlename : </t>
    </r>
    <r>
      <rPr>
        <sz val="14"/>
        <rFont val="ＭＳ Ｐ明朝"/>
        <family val="1"/>
        <charset val="128"/>
      </rPr>
      <t>だ</t>
    </r>
    <phoneticPr fontId="3"/>
  </si>
  <si>
    <r>
      <t>userdetails.LastName :</t>
    </r>
    <r>
      <rPr>
        <sz val="9"/>
        <rFont val="ＭＳ Ｐ明朝"/>
        <family val="1"/>
        <charset val="128"/>
      </rPr>
      <t>ぁんｄげ</t>
    </r>
    <phoneticPr fontId="3"/>
  </si>
  <si>
    <r>
      <t>userdetails.LastName :</t>
    </r>
    <r>
      <rPr>
        <sz val="14"/>
        <rFont val="ＭＳ Ｐ明朝"/>
        <family val="1"/>
        <charset val="128"/>
      </rPr>
      <t>ぁんｄげ</t>
    </r>
    <phoneticPr fontId="3"/>
  </si>
  <si>
    <t>userdetails.Username : vsp123</t>
    <phoneticPr fontId="3"/>
  </si>
  <si>
    <t>userdetails.Password : vsp@123</t>
    <phoneticPr fontId="3"/>
  </si>
  <si>
    <t>userdetails.Sex : Male</t>
    <phoneticPr fontId="3"/>
  </si>
  <si>
    <t>userdetails.Sex : Male</t>
    <phoneticPr fontId="3"/>
  </si>
  <si>
    <t>userdetails.Email_ID : vsp123@gmail.com</t>
    <phoneticPr fontId="3"/>
  </si>
  <si>
    <t>userdetails.Birth Date : 1997-3-17</t>
    <phoneticPr fontId="3"/>
  </si>
  <si>
    <r>
      <t xml:space="preserve">userdetails.Address : </t>
    </r>
    <r>
      <rPr>
        <sz val="9"/>
        <rFont val="ＭＳ Ｐ明朝"/>
        <family val="1"/>
        <charset val="128"/>
      </rPr>
      <t>あうらんがばｄ</t>
    </r>
    <phoneticPr fontId="3"/>
  </si>
  <si>
    <r>
      <t xml:space="preserve">userdetails.Address : </t>
    </r>
    <r>
      <rPr>
        <sz val="14"/>
        <rFont val="ＭＳ Ｐ明朝"/>
        <family val="1"/>
        <charset val="128"/>
      </rPr>
      <t>あうらんがばｄ</t>
    </r>
    <phoneticPr fontId="3"/>
  </si>
  <si>
    <t xml:space="preserve">userdetails.Interest : Web  Database Swing  Mobile </t>
    <phoneticPr fontId="3"/>
  </si>
  <si>
    <t>userdetails.Interest : Web Programming  Database Programming</t>
    <phoneticPr fontId="3"/>
  </si>
  <si>
    <t>userdetails.Interest : Web Programming</t>
    <phoneticPr fontId="3"/>
  </si>
  <si>
    <t>userdetails.Other Interest : Cloud Computing</t>
    <phoneticPr fontId="3"/>
  </si>
  <si>
    <t>userdetails.Other Interest : Cloud Computing</t>
    <phoneticPr fontId="3"/>
  </si>
  <si>
    <t>Verification during program execution</t>
    <phoneticPr fontId="3"/>
  </si>
  <si>
    <t>GoBack_Click</t>
    <phoneticPr fontId="3"/>
  </si>
</sst>
</file>

<file path=xl/styles.xml><?xml version="1.0" encoding="utf-8"?>
<styleSheet xmlns="http://schemas.openxmlformats.org/spreadsheetml/2006/main">
  <numFmts count="2">
    <numFmt numFmtId="176" formatCode="0;[Red]0"/>
    <numFmt numFmtId="177" formatCode="yyyy/mm/dd;[Red]@"/>
  </numFmts>
  <fonts count="30">
    <font>
      <sz val="11"/>
      <name val="ＭＳ Ｐゴシック"/>
      <family val="3"/>
      <charset val="128"/>
    </font>
    <font>
      <sz val="11"/>
      <name val="ＭＳ Ｐゴシック"/>
      <family val="3"/>
      <charset val="128"/>
    </font>
    <font>
      <u/>
      <sz val="11"/>
      <color indexed="12"/>
      <name val="ＭＳ Ｐゴシック"/>
      <family val="3"/>
      <charset val="128"/>
    </font>
    <font>
      <sz val="6"/>
      <name val="ＭＳ Ｐゴシック"/>
      <family val="3"/>
      <charset val="128"/>
    </font>
    <font>
      <sz val="9"/>
      <name val="ＭＳ Ｐゴシック"/>
      <family val="3"/>
      <charset val="128"/>
    </font>
    <font>
      <sz val="8"/>
      <color indexed="81"/>
      <name val="Tahoma"/>
      <family val="2"/>
    </font>
    <font>
      <b/>
      <sz val="8"/>
      <color indexed="81"/>
      <name val="Tahoma"/>
      <family val="2"/>
    </font>
    <font>
      <sz val="10"/>
      <name val="Arial"/>
      <family val="2"/>
    </font>
    <font>
      <b/>
      <sz val="11"/>
      <color indexed="12"/>
      <name val="Times New Roman"/>
      <family val="1"/>
    </font>
    <font>
      <sz val="9"/>
      <name val="Times New Roman"/>
      <family val="1"/>
    </font>
    <font>
      <sz val="11"/>
      <name val="Times New Roman"/>
      <family val="1"/>
    </font>
    <font>
      <b/>
      <sz val="11"/>
      <name val="Times New Roman"/>
      <family val="1"/>
    </font>
    <font>
      <sz val="16"/>
      <name val="Times New Roman"/>
      <family val="1"/>
    </font>
    <font>
      <sz val="9"/>
      <name val="ＭＳ Ｐ明朝"/>
      <family val="1"/>
      <charset val="128"/>
    </font>
    <font>
      <sz val="9"/>
      <color indexed="19"/>
      <name val="Times New Roman"/>
      <family val="1"/>
    </font>
    <font>
      <sz val="9"/>
      <color indexed="57"/>
      <name val="Times New Roman"/>
      <family val="1"/>
    </font>
    <font>
      <sz val="9"/>
      <color indexed="20"/>
      <name val="Times New Roman"/>
      <family val="1"/>
    </font>
    <font>
      <sz val="9"/>
      <color indexed="48"/>
      <name val="Times New Roman"/>
      <family val="1"/>
    </font>
    <font>
      <sz val="9"/>
      <color indexed="10"/>
      <name val="Times New Roman"/>
      <family val="1"/>
    </font>
    <font>
      <sz val="9"/>
      <color indexed="16"/>
      <name val="Times New Roman"/>
      <family val="1"/>
    </font>
    <font>
      <sz val="11"/>
      <color indexed="9"/>
      <name val="Times New Roman"/>
      <family val="1"/>
    </font>
    <font>
      <b/>
      <sz val="11"/>
      <name val="ＭＳ Ｐゴシック"/>
      <family val="3"/>
      <charset val="128"/>
    </font>
    <font>
      <b/>
      <sz val="11"/>
      <color theme="1"/>
      <name val="Times New Roman"/>
      <family val="1"/>
    </font>
    <font>
      <sz val="6"/>
      <name val="ＭＳ Ｐゴシック"/>
      <family val="2"/>
      <charset val="128"/>
      <scheme val="minor"/>
    </font>
    <font>
      <sz val="14"/>
      <name val="Times New Roman"/>
      <family val="1"/>
    </font>
    <font>
      <sz val="14"/>
      <name val="ＭＳ Ｐゴシック"/>
      <family val="3"/>
      <charset val="128"/>
    </font>
    <font>
      <sz val="14"/>
      <color theme="1"/>
      <name val="Times New Roman"/>
      <family val="1"/>
    </font>
    <font>
      <sz val="8"/>
      <color indexed="8"/>
      <name val="Tahoma"/>
      <family val="2"/>
      <charset val="128"/>
    </font>
    <font>
      <b/>
      <sz val="8"/>
      <color indexed="8"/>
      <name val="Tahoma"/>
      <family val="2"/>
      <charset val="128"/>
    </font>
    <font>
      <sz val="14"/>
      <name val="ＭＳ Ｐ明朝"/>
      <family val="1"/>
      <charset val="128"/>
    </font>
  </fonts>
  <fills count="9">
    <fill>
      <patternFill patternType="none"/>
    </fill>
    <fill>
      <patternFill patternType="gray125"/>
    </fill>
    <fill>
      <patternFill patternType="solid">
        <fgColor indexed="42"/>
        <bgColor indexed="64"/>
      </patternFill>
    </fill>
    <fill>
      <patternFill patternType="solid">
        <fgColor indexed="23"/>
        <bgColor indexed="64"/>
      </patternFill>
    </fill>
    <fill>
      <patternFill patternType="solid">
        <fgColor indexed="41"/>
        <bgColor indexed="64"/>
      </patternFill>
    </fill>
    <fill>
      <patternFill patternType="solid">
        <fgColor indexed="43"/>
        <bgColor indexed="64"/>
      </patternFill>
    </fill>
    <fill>
      <patternFill patternType="solid">
        <fgColor indexed="47"/>
        <bgColor indexed="64"/>
      </patternFill>
    </fill>
    <fill>
      <patternFill patternType="solid">
        <fgColor indexed="26"/>
        <bgColor indexed="64"/>
      </patternFill>
    </fill>
    <fill>
      <patternFill patternType="solid">
        <fgColor theme="0"/>
        <bgColor indexed="27"/>
      </patternFill>
    </fill>
  </fills>
  <borders count="96">
    <border>
      <left/>
      <right/>
      <top/>
      <bottom/>
      <diagonal/>
    </border>
    <border>
      <left/>
      <right/>
      <top style="thin">
        <color indexed="64"/>
      </top>
      <bottom style="thin">
        <color indexed="64"/>
      </bottom>
      <diagonal/>
    </border>
    <border>
      <left/>
      <right/>
      <top style="thin">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medium">
        <color indexed="64"/>
      </top>
      <bottom/>
      <diagonal/>
    </border>
    <border>
      <left/>
      <right/>
      <top/>
      <bottom style="medium">
        <color indexed="64"/>
      </bottom>
      <diagonal/>
    </border>
    <border>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top style="medium">
        <color indexed="64"/>
      </top>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medium">
        <color indexed="64"/>
      </top>
      <bottom/>
      <diagonal/>
    </border>
    <border>
      <left style="thin">
        <color indexed="64"/>
      </left>
      <right style="thin">
        <color indexed="64"/>
      </right>
      <top/>
      <bottom style="medium">
        <color indexed="64"/>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style="medium">
        <color indexed="64"/>
      </right>
      <top style="medium">
        <color indexed="64"/>
      </top>
      <bottom style="thin">
        <color indexed="64"/>
      </bottom>
      <diagonal/>
    </border>
    <border>
      <left style="thin">
        <color indexed="64"/>
      </left>
      <right/>
      <top/>
      <bottom style="medium">
        <color indexed="64"/>
      </bottom>
      <diagonal/>
    </border>
    <border>
      <left/>
      <right style="medium">
        <color indexed="64"/>
      </right>
      <top style="thin">
        <color indexed="64"/>
      </top>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thin">
        <color indexed="8"/>
      </bottom>
      <diagonal/>
    </border>
    <border>
      <left style="hair">
        <color indexed="8"/>
      </left>
      <right style="hair">
        <color indexed="8"/>
      </right>
      <top style="hair">
        <color indexed="8"/>
      </top>
      <bottom style="hair">
        <color indexed="8"/>
      </bottom>
      <diagonal/>
    </border>
    <border>
      <left style="thin">
        <color indexed="8"/>
      </left>
      <right style="medium">
        <color indexed="8"/>
      </right>
      <top style="medium">
        <color indexed="8"/>
      </top>
      <bottom style="thin">
        <color indexed="8"/>
      </bottom>
      <diagonal/>
    </border>
    <border>
      <left style="medium">
        <color indexed="8"/>
      </left>
      <right/>
      <top style="thin">
        <color indexed="8"/>
      </top>
      <bottom style="medium">
        <color indexed="8"/>
      </bottom>
      <diagonal/>
    </border>
    <border>
      <left style="thin">
        <color indexed="8"/>
      </left>
      <right style="thin">
        <color indexed="8"/>
      </right>
      <top style="thin">
        <color indexed="8"/>
      </top>
      <bottom style="medium">
        <color indexed="8"/>
      </bottom>
      <diagonal/>
    </border>
    <border>
      <left/>
      <right/>
      <top style="medium">
        <color indexed="8"/>
      </top>
      <bottom/>
      <diagonal/>
    </border>
    <border>
      <left style="thin">
        <color indexed="8"/>
      </left>
      <right/>
      <top style="thin">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top style="medium">
        <color indexed="8"/>
      </top>
      <bottom/>
      <diagonal/>
    </border>
    <border>
      <left style="medium">
        <color indexed="8"/>
      </left>
      <right/>
      <top style="medium">
        <color indexed="8"/>
      </top>
      <bottom style="medium">
        <color indexed="8"/>
      </bottom>
      <diagonal/>
    </border>
    <border>
      <left style="thin">
        <color indexed="8"/>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medium">
        <color indexed="64"/>
      </left>
      <right style="thin">
        <color indexed="8"/>
      </right>
      <top style="medium">
        <color indexed="64"/>
      </top>
      <bottom/>
      <diagonal/>
    </border>
    <border>
      <left/>
      <right/>
      <top style="medium">
        <color indexed="8"/>
      </top>
      <bottom style="thin">
        <color indexed="8"/>
      </bottom>
      <diagonal/>
    </border>
    <border>
      <left style="medium">
        <color indexed="64"/>
      </left>
      <right style="thin">
        <color indexed="8"/>
      </right>
      <top style="medium">
        <color indexed="8"/>
      </top>
      <bottom/>
      <diagonal/>
    </border>
    <border>
      <left style="thin">
        <color indexed="8"/>
      </left>
      <right/>
      <top style="thin">
        <color indexed="8"/>
      </top>
      <bottom style="thin">
        <color indexed="8"/>
      </bottom>
      <diagonal/>
    </border>
    <border>
      <left style="thin">
        <color indexed="8"/>
      </left>
      <right style="medium">
        <color indexed="64"/>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right/>
      <top style="thin">
        <color indexed="8"/>
      </top>
      <bottom style="thin">
        <color indexed="8"/>
      </bottom>
      <diagonal/>
    </border>
    <border>
      <left style="medium">
        <color indexed="64"/>
      </left>
      <right style="thin">
        <color indexed="8"/>
      </right>
      <top style="medium">
        <color indexed="8"/>
      </top>
      <bottom style="medium">
        <color indexed="8"/>
      </bottom>
      <diagonal/>
    </border>
    <border>
      <left style="thin">
        <color indexed="8"/>
      </left>
      <right/>
      <top style="medium">
        <color indexed="8"/>
      </top>
      <bottom/>
      <diagonal/>
    </border>
    <border>
      <left style="thin">
        <color indexed="8"/>
      </left>
      <right style="medium">
        <color indexed="64"/>
      </right>
      <top style="medium">
        <color indexed="8"/>
      </top>
      <bottom/>
      <diagonal/>
    </border>
    <border>
      <left style="thin">
        <color indexed="8"/>
      </left>
      <right style="thin">
        <color indexed="8"/>
      </right>
      <top style="medium">
        <color indexed="8"/>
      </top>
      <bottom/>
      <diagonal/>
    </border>
    <border>
      <left style="hair">
        <color indexed="8"/>
      </left>
      <right style="hair">
        <color indexed="8"/>
      </right>
      <top/>
      <bottom/>
      <diagonal/>
    </border>
    <border>
      <left style="thin">
        <color indexed="8"/>
      </left>
      <right/>
      <top style="thin">
        <color indexed="8"/>
      </top>
      <bottom/>
      <diagonal/>
    </border>
    <border>
      <left style="thin">
        <color indexed="8"/>
      </left>
      <right style="medium">
        <color indexed="64"/>
      </right>
      <top style="thin">
        <color indexed="8"/>
      </top>
      <bottom/>
      <diagonal/>
    </border>
    <border>
      <left style="thin">
        <color indexed="8"/>
      </left>
      <right style="thin">
        <color indexed="8"/>
      </right>
      <top/>
      <bottom style="thin">
        <color indexed="8"/>
      </bottom>
      <diagonal/>
    </border>
    <border>
      <left style="thin">
        <color indexed="8"/>
      </left>
      <right style="medium">
        <color indexed="64"/>
      </right>
      <top style="medium">
        <color indexed="8"/>
      </top>
      <bottom style="thin">
        <color indexed="8"/>
      </bottom>
      <diagonal/>
    </border>
    <border>
      <left style="thin">
        <color indexed="8"/>
      </left>
      <right style="medium">
        <color indexed="64"/>
      </right>
      <top/>
      <bottom style="thin">
        <color indexed="8"/>
      </bottom>
      <diagonal/>
    </border>
    <border>
      <left style="medium">
        <color indexed="64"/>
      </left>
      <right style="thin">
        <color indexed="8"/>
      </right>
      <top style="thin">
        <color indexed="8"/>
      </top>
      <bottom style="medium">
        <color indexed="8"/>
      </bottom>
      <diagonal/>
    </border>
    <border>
      <left/>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style="medium">
        <color indexed="64"/>
      </left>
      <right style="thin">
        <color indexed="8"/>
      </right>
      <top style="thin">
        <color indexed="8"/>
      </top>
      <bottom style="medium">
        <color indexed="64"/>
      </bottom>
      <diagonal/>
    </border>
    <border>
      <left style="thin">
        <color indexed="8"/>
      </left>
      <right style="thin">
        <color indexed="8"/>
      </right>
      <top style="thin">
        <color indexed="8"/>
      </top>
      <bottom style="medium">
        <color indexed="64"/>
      </bottom>
      <diagonal/>
    </border>
    <border>
      <left style="thin">
        <color indexed="8"/>
      </left>
      <right style="medium">
        <color indexed="8"/>
      </right>
      <top style="thin">
        <color indexed="8"/>
      </top>
      <bottom style="medium">
        <color indexed="64"/>
      </bottom>
      <diagonal/>
    </border>
    <border>
      <left style="thin">
        <color indexed="8"/>
      </left>
      <right style="medium">
        <color indexed="64"/>
      </right>
      <top style="thin">
        <color indexed="8"/>
      </top>
      <bottom style="medium">
        <color indexed="64"/>
      </bottom>
      <diagonal/>
    </border>
    <border>
      <left/>
      <right/>
      <top style="thin">
        <color indexed="8"/>
      </top>
      <bottom style="medium">
        <color indexed="8"/>
      </bottom>
      <diagonal/>
    </border>
    <border>
      <left/>
      <right style="thin">
        <color indexed="8"/>
      </right>
      <top/>
      <bottom style="thin">
        <color indexed="8"/>
      </bottom>
      <diagonal/>
    </border>
    <border>
      <left style="thin">
        <color indexed="8"/>
      </left>
      <right style="medium">
        <color indexed="8"/>
      </right>
      <top/>
      <bottom style="thin">
        <color indexed="8"/>
      </bottom>
      <diagonal/>
    </border>
  </borders>
  <cellStyleXfs count="9">
    <xf numFmtId="0" fontId="0" fillId="0" borderId="0"/>
    <xf numFmtId="0" fontId="2" fillId="0" borderId="0" applyNumberFormat="0" applyFill="0" applyBorder="0" applyAlignment="0" applyProtection="0">
      <alignment vertical="top"/>
      <protection locked="0"/>
    </xf>
    <xf numFmtId="0" fontId="7" fillId="0" borderId="0"/>
    <xf numFmtId="9" fontId="1" fillId="0" borderId="0" applyFont="0" applyFill="0" applyBorder="0" applyAlignment="0" applyProtection="0"/>
    <xf numFmtId="0" fontId="1" fillId="0" borderId="0"/>
    <xf numFmtId="0" fontId="1" fillId="0" borderId="0"/>
    <xf numFmtId="0" fontId="1" fillId="0" borderId="0">
      <alignment vertical="center"/>
    </xf>
    <xf numFmtId="0" fontId="1" fillId="0" borderId="0"/>
    <xf numFmtId="0" fontId="1" fillId="0" borderId="0"/>
  </cellStyleXfs>
  <cellXfs count="367">
    <xf numFmtId="0" fontId="0" fillId="0" borderId="0" xfId="0"/>
    <xf numFmtId="49" fontId="9" fillId="0" borderId="0" xfId="6" applyNumberFormat="1" applyFont="1" applyFill="1">
      <alignment vertical="center"/>
    </xf>
    <xf numFmtId="0" fontId="10" fillId="0" borderId="0" xfId="2" applyFont="1" applyAlignment="1">
      <alignment vertical="center"/>
    </xf>
    <xf numFmtId="0" fontId="10" fillId="0" borderId="0" xfId="2" applyFont="1" applyAlignment="1">
      <alignment horizontal="center" vertical="center" wrapText="1"/>
    </xf>
    <xf numFmtId="0" fontId="10" fillId="0" borderId="0" xfId="2" applyFont="1" applyAlignment="1">
      <alignment horizontal="center" vertical="center"/>
    </xf>
    <xf numFmtId="176" fontId="12" fillId="0" borderId="1" xfId="2" applyNumberFormat="1" applyFont="1" applyFill="1" applyBorder="1" applyAlignment="1">
      <alignment horizontal="center" vertical="center"/>
    </xf>
    <xf numFmtId="176" fontId="12" fillId="0" borderId="1" xfId="2" applyNumberFormat="1" applyFont="1" applyFill="1" applyBorder="1" applyAlignment="1">
      <alignment horizontal="left" vertical="center"/>
    </xf>
    <xf numFmtId="176" fontId="12" fillId="0" borderId="2" xfId="2" applyNumberFormat="1" applyFont="1" applyFill="1" applyBorder="1" applyAlignment="1">
      <alignment horizontal="center" vertical="center"/>
    </xf>
    <xf numFmtId="0" fontId="12" fillId="0" borderId="0" xfId="2" applyFont="1" applyFill="1" applyBorder="1" applyAlignment="1">
      <alignment horizontal="center" vertical="center"/>
    </xf>
    <xf numFmtId="49" fontId="9" fillId="0" borderId="0" xfId="6" applyNumberFormat="1" applyFont="1" applyFill="1" applyBorder="1">
      <alignment vertical="center"/>
    </xf>
    <xf numFmtId="49" fontId="9" fillId="0" borderId="3" xfId="6" applyNumberFormat="1" applyFont="1" applyFill="1" applyBorder="1" applyAlignment="1"/>
    <xf numFmtId="176" fontId="9" fillId="0" borderId="4" xfId="6" applyNumberFormat="1" applyFont="1" applyFill="1" applyBorder="1" applyAlignment="1">
      <alignment horizontal="center" vertical="center"/>
    </xf>
    <xf numFmtId="176" fontId="9" fillId="0" borderId="5" xfId="6" applyNumberFormat="1" applyFont="1" applyFill="1" applyBorder="1" applyAlignment="1">
      <alignment horizontal="center" vertical="center"/>
    </xf>
    <xf numFmtId="176" fontId="9" fillId="0" borderId="6" xfId="6" applyNumberFormat="1" applyFont="1" applyFill="1" applyBorder="1" applyAlignment="1">
      <alignment horizontal="center" vertical="center"/>
    </xf>
    <xf numFmtId="49" fontId="9" fillId="0" borderId="7" xfId="0" applyNumberFormat="1" applyFont="1" applyFill="1" applyBorder="1" applyAlignment="1">
      <alignment horizontal="center" vertical="top" wrapText="1"/>
    </xf>
    <xf numFmtId="49" fontId="9" fillId="0" borderId="8" xfId="0" applyNumberFormat="1" applyFont="1" applyFill="1" applyBorder="1" applyAlignment="1">
      <alignment horizontal="center" vertical="top" wrapText="1"/>
    </xf>
    <xf numFmtId="49" fontId="9" fillId="0" borderId="9" xfId="0" applyNumberFormat="1" applyFont="1" applyFill="1" applyBorder="1" applyAlignment="1">
      <alignment horizontal="center" vertical="top" wrapText="1"/>
    </xf>
    <xf numFmtId="49" fontId="9" fillId="0" borderId="0" xfId="6" applyNumberFormat="1" applyFont="1" applyFill="1" applyAlignment="1">
      <alignment vertical="center" wrapText="1"/>
    </xf>
    <xf numFmtId="49" fontId="9" fillId="0" borderId="10" xfId="0" applyNumberFormat="1" applyFont="1" applyFill="1" applyBorder="1" applyAlignment="1">
      <alignment horizontal="center" vertical="top" wrapText="1"/>
    </xf>
    <xf numFmtId="49" fontId="9" fillId="0" borderId="11" xfId="0" applyNumberFormat="1" applyFont="1" applyFill="1" applyBorder="1" applyAlignment="1">
      <alignment horizontal="center" vertical="top" wrapText="1"/>
    </xf>
    <xf numFmtId="49" fontId="9" fillId="0" borderId="12" xfId="0" applyNumberFormat="1" applyFont="1" applyFill="1" applyBorder="1" applyAlignment="1">
      <alignment horizontal="center" vertical="top" wrapText="1"/>
    </xf>
    <xf numFmtId="49" fontId="9" fillId="0" borderId="0" xfId="0" applyNumberFormat="1" applyFont="1" applyFill="1" applyBorder="1" applyAlignment="1">
      <alignment horizontal="left" vertical="top" wrapText="1"/>
    </xf>
    <xf numFmtId="49" fontId="9" fillId="0" borderId="10" xfId="0" applyNumberFormat="1" applyFont="1" applyFill="1" applyBorder="1" applyAlignment="1">
      <alignment horizontal="center" vertical="center" wrapText="1"/>
    </xf>
    <xf numFmtId="49" fontId="9" fillId="0" borderId="11" xfId="0" applyNumberFormat="1" applyFont="1" applyFill="1" applyBorder="1" applyAlignment="1">
      <alignment horizontal="center" vertical="center" wrapText="1"/>
    </xf>
    <xf numFmtId="49" fontId="9" fillId="0" borderId="12" xfId="0" applyNumberFormat="1" applyFont="1" applyFill="1" applyBorder="1" applyAlignment="1">
      <alignment horizontal="center" vertical="center" wrapText="1"/>
    </xf>
    <xf numFmtId="49" fontId="9" fillId="0" borderId="7" xfId="0" applyNumberFormat="1" applyFont="1" applyFill="1" applyBorder="1" applyAlignment="1">
      <alignment horizontal="center" vertical="center" wrapText="1"/>
    </xf>
    <xf numFmtId="49" fontId="9" fillId="0" borderId="8" xfId="0" applyNumberFormat="1" applyFont="1" applyFill="1" applyBorder="1" applyAlignment="1">
      <alignment horizontal="center" vertical="center" wrapText="1"/>
    </xf>
    <xf numFmtId="49" fontId="9" fillId="0" borderId="9" xfId="0" applyNumberFormat="1" applyFont="1" applyFill="1" applyBorder="1" applyAlignment="1">
      <alignment horizontal="center" vertical="center" wrapText="1"/>
    </xf>
    <xf numFmtId="49" fontId="9" fillId="0" borderId="13" xfId="0" applyNumberFormat="1" applyFont="1" applyFill="1" applyBorder="1" applyAlignment="1">
      <alignment horizontal="left" vertical="top" wrapText="1"/>
    </xf>
    <xf numFmtId="49" fontId="9" fillId="0" borderId="14" xfId="0" applyNumberFormat="1" applyFont="1" applyFill="1" applyBorder="1" applyAlignment="1">
      <alignment horizontal="center" vertical="center" wrapText="1"/>
    </xf>
    <xf numFmtId="49" fontId="9" fillId="0" borderId="15" xfId="0" applyNumberFormat="1" applyFont="1" applyFill="1" applyBorder="1" applyAlignment="1">
      <alignment horizontal="center" vertical="center" wrapText="1"/>
    </xf>
    <xf numFmtId="49" fontId="9" fillId="0" borderId="16" xfId="0" applyNumberFormat="1" applyFont="1" applyFill="1" applyBorder="1" applyAlignment="1">
      <alignment horizontal="center" vertical="center" wrapText="1"/>
    </xf>
    <xf numFmtId="49" fontId="9" fillId="0" borderId="17" xfId="0" applyNumberFormat="1" applyFont="1" applyFill="1" applyBorder="1" applyAlignment="1">
      <alignment horizontal="center" vertical="center" wrapText="1"/>
    </xf>
    <xf numFmtId="49" fontId="9" fillId="0" borderId="18" xfId="0" applyNumberFormat="1" applyFont="1" applyFill="1" applyBorder="1" applyAlignment="1">
      <alignment horizontal="center" vertical="center" wrapText="1"/>
    </xf>
    <xf numFmtId="49" fontId="9" fillId="0" borderId="19" xfId="0" applyNumberFormat="1" applyFont="1" applyFill="1" applyBorder="1" applyAlignment="1">
      <alignment horizontal="center" vertical="center" wrapText="1"/>
    </xf>
    <xf numFmtId="49" fontId="9" fillId="0" borderId="20" xfId="6" applyNumberFormat="1" applyFont="1" applyFill="1" applyBorder="1" applyAlignment="1">
      <alignment horizontal="center" vertical="center" wrapText="1"/>
    </xf>
    <xf numFmtId="49" fontId="9" fillId="0" borderId="7" xfId="6" applyNumberFormat="1" applyFont="1" applyFill="1" applyBorder="1" applyAlignment="1">
      <alignment horizontal="center" vertical="center" wrapText="1"/>
    </xf>
    <xf numFmtId="49" fontId="9" fillId="0" borderId="8" xfId="6" applyNumberFormat="1" applyFont="1" applyFill="1" applyBorder="1" applyAlignment="1">
      <alignment horizontal="center" vertical="center" wrapText="1"/>
    </xf>
    <xf numFmtId="49" fontId="9" fillId="0" borderId="9" xfId="6" applyNumberFormat="1" applyFont="1" applyFill="1" applyBorder="1" applyAlignment="1">
      <alignment horizontal="center" vertical="center" wrapText="1"/>
    </xf>
    <xf numFmtId="49" fontId="9" fillId="0" borderId="21" xfId="6" applyNumberFormat="1" applyFont="1" applyFill="1" applyBorder="1" applyAlignment="1">
      <alignment horizontal="center" vertical="center" wrapText="1"/>
    </xf>
    <xf numFmtId="49" fontId="9" fillId="0" borderId="10" xfId="6" applyNumberFormat="1" applyFont="1" applyFill="1" applyBorder="1" applyAlignment="1">
      <alignment horizontal="center" vertical="center" wrapText="1"/>
    </xf>
    <xf numFmtId="49" fontId="9" fillId="0" borderId="11" xfId="6" applyNumberFormat="1" applyFont="1" applyFill="1" applyBorder="1" applyAlignment="1">
      <alignment horizontal="center" vertical="center" wrapText="1"/>
    </xf>
    <xf numFmtId="49" fontId="9" fillId="0" borderId="12" xfId="6" applyNumberFormat="1" applyFont="1" applyFill="1" applyBorder="1" applyAlignment="1">
      <alignment horizontal="center" vertical="center" wrapText="1"/>
    </xf>
    <xf numFmtId="177" fontId="9" fillId="0" borderId="10" xfId="6" applyNumberFormat="1" applyFont="1" applyFill="1" applyBorder="1" applyAlignment="1">
      <alignment horizontal="center" vertical="center" wrapText="1"/>
    </xf>
    <xf numFmtId="177" fontId="9" fillId="0" borderId="11" xfId="6" applyNumberFormat="1" applyFont="1" applyFill="1" applyBorder="1" applyAlignment="1">
      <alignment horizontal="center" vertical="center" wrapText="1"/>
    </xf>
    <xf numFmtId="177" fontId="9" fillId="0" borderId="12" xfId="6" applyNumberFormat="1" applyFont="1" applyFill="1" applyBorder="1" applyAlignment="1">
      <alignment horizontal="center" vertical="center" wrapText="1"/>
    </xf>
    <xf numFmtId="49" fontId="9" fillId="0" borderId="22" xfId="6" applyNumberFormat="1" applyFont="1" applyFill="1" applyBorder="1" applyAlignment="1">
      <alignment horizontal="center" vertical="center" wrapText="1"/>
    </xf>
    <xf numFmtId="49" fontId="9" fillId="0" borderId="0" xfId="6" applyNumberFormat="1" applyFont="1" applyFill="1" applyAlignment="1">
      <alignment horizontal="center" vertical="center" wrapText="1"/>
    </xf>
    <xf numFmtId="49" fontId="9" fillId="0" borderId="23" xfId="6" applyNumberFormat="1" applyFont="1" applyFill="1" applyBorder="1" applyAlignment="1">
      <alignment horizontal="center" vertical="center" wrapText="1"/>
    </xf>
    <xf numFmtId="49" fontId="9" fillId="0" borderId="0" xfId="6" applyNumberFormat="1" applyFont="1" applyFill="1" applyBorder="1" applyAlignment="1">
      <alignment horizontal="center" vertical="center" wrapText="1"/>
    </xf>
    <xf numFmtId="49" fontId="9" fillId="0" borderId="0" xfId="6" applyNumberFormat="1" applyFont="1" applyFill="1" applyBorder="1" applyAlignment="1">
      <alignment vertical="center" wrapText="1"/>
    </xf>
    <xf numFmtId="49" fontId="9" fillId="0" borderId="0" xfId="6" applyNumberFormat="1" applyFont="1" applyFill="1" applyBorder="1" applyAlignment="1">
      <alignment horizontal="center" vertical="center"/>
    </xf>
    <xf numFmtId="176" fontId="12" fillId="0" borderId="2" xfId="2" applyNumberFormat="1" applyFont="1" applyFill="1" applyBorder="1" applyAlignment="1">
      <alignment horizontal="left" vertical="center"/>
    </xf>
    <xf numFmtId="49" fontId="9" fillId="0" borderId="15" xfId="6" applyNumberFormat="1" applyFont="1" applyFill="1" applyBorder="1" applyAlignment="1">
      <alignment horizontal="center" vertical="center" wrapText="1"/>
    </xf>
    <xf numFmtId="49" fontId="9" fillId="0" borderId="16" xfId="6" applyNumberFormat="1" applyFont="1" applyFill="1" applyBorder="1" applyAlignment="1">
      <alignment horizontal="center" vertical="center" wrapText="1"/>
    </xf>
    <xf numFmtId="0" fontId="9" fillId="0" borderId="18" xfId="6" applyNumberFormat="1" applyFont="1" applyFill="1" applyBorder="1" applyAlignment="1">
      <alignment horizontal="center" vertical="center" wrapText="1"/>
    </xf>
    <xf numFmtId="0" fontId="9" fillId="0" borderId="19" xfId="6" applyNumberFormat="1" applyFont="1" applyFill="1" applyBorder="1" applyAlignment="1">
      <alignment horizontal="center" vertical="center" wrapText="1"/>
    </xf>
    <xf numFmtId="176" fontId="10" fillId="0" borderId="0" xfId="2" applyNumberFormat="1" applyFont="1" applyFill="1" applyBorder="1" applyAlignment="1">
      <alignment horizontal="center" vertical="center"/>
    </xf>
    <xf numFmtId="176" fontId="10" fillId="0" borderId="0" xfId="2" applyNumberFormat="1" applyFont="1" applyFill="1" applyBorder="1" applyAlignment="1">
      <alignment horizontal="left" vertical="center"/>
    </xf>
    <xf numFmtId="0" fontId="10" fillId="0" borderId="0" xfId="2" applyFont="1" applyFill="1" applyAlignment="1">
      <alignment horizontal="center" vertical="center"/>
    </xf>
    <xf numFmtId="49" fontId="9" fillId="0" borderId="14" xfId="6" applyNumberFormat="1" applyFont="1" applyFill="1" applyBorder="1" applyAlignment="1">
      <alignment horizontal="center" vertical="center" wrapText="1"/>
    </xf>
    <xf numFmtId="0" fontId="9" fillId="0" borderId="17" xfId="6" applyNumberFormat="1" applyFont="1" applyFill="1" applyBorder="1" applyAlignment="1">
      <alignment horizontal="center" vertical="center" wrapText="1"/>
    </xf>
    <xf numFmtId="49" fontId="13" fillId="0" borderId="11" xfId="0" applyNumberFormat="1" applyFont="1" applyFill="1" applyBorder="1" applyAlignment="1">
      <alignment horizontal="center" vertical="center" wrapText="1"/>
    </xf>
    <xf numFmtId="49" fontId="9" fillId="2" borderId="7" xfId="6" applyNumberFormat="1" applyFont="1" applyFill="1" applyBorder="1" applyAlignment="1">
      <alignment vertical="center"/>
    </xf>
    <xf numFmtId="49" fontId="9" fillId="2" borderId="17" xfId="6" applyNumberFormat="1" applyFont="1" applyFill="1" applyBorder="1" applyAlignment="1">
      <alignment vertical="center"/>
    </xf>
    <xf numFmtId="49" fontId="14" fillId="0" borderId="24" xfId="6" applyNumberFormat="1" applyFont="1" applyFill="1" applyBorder="1" applyAlignment="1">
      <alignment horizontal="right" vertical="top" wrapText="1"/>
    </xf>
    <xf numFmtId="49" fontId="19" fillId="0" borderId="4" xfId="6" applyNumberFormat="1" applyFont="1" applyFill="1" applyBorder="1" applyAlignment="1"/>
    <xf numFmtId="49" fontId="13" fillId="0" borderId="8" xfId="0" applyNumberFormat="1" applyFont="1" applyFill="1" applyBorder="1" applyAlignment="1">
      <alignment horizontal="center" vertical="center" wrapText="1"/>
    </xf>
    <xf numFmtId="49" fontId="13" fillId="0" borderId="15" xfId="0" applyNumberFormat="1" applyFont="1" applyFill="1" applyBorder="1" applyAlignment="1">
      <alignment horizontal="center" vertical="center" wrapText="1"/>
    </xf>
    <xf numFmtId="49" fontId="13" fillId="0" borderId="11" xfId="6" applyNumberFormat="1" applyFont="1" applyFill="1" applyBorder="1" applyAlignment="1">
      <alignment horizontal="center" vertical="center" wrapText="1"/>
    </xf>
    <xf numFmtId="49" fontId="13" fillId="0" borderId="18" xfId="0" applyNumberFormat="1" applyFont="1" applyFill="1" applyBorder="1" applyAlignment="1">
      <alignment horizontal="center" vertical="center" wrapText="1"/>
    </xf>
    <xf numFmtId="49" fontId="9" fillId="0" borderId="11" xfId="6" applyNumberFormat="1" applyFont="1" applyFill="1" applyBorder="1" applyAlignment="1">
      <alignment horizontal="center" vertical="center" wrapText="1"/>
    </xf>
    <xf numFmtId="49" fontId="9" fillId="0" borderId="11" xfId="0" applyNumberFormat="1" applyFont="1" applyFill="1" applyBorder="1" applyAlignment="1">
      <alignment horizontal="center" vertical="top" wrapText="1"/>
    </xf>
    <xf numFmtId="49" fontId="9" fillId="0" borderId="38" xfId="5" applyNumberFormat="1" applyFont="1" applyFill="1" applyBorder="1" applyAlignment="1">
      <alignment wrapText="1"/>
    </xf>
    <xf numFmtId="49" fontId="9" fillId="0" borderId="22" xfId="6" applyNumberFormat="1" applyFont="1" applyFill="1" applyBorder="1" applyAlignment="1">
      <alignment horizontal="center" vertical="center" wrapText="1"/>
    </xf>
    <xf numFmtId="49" fontId="9" fillId="0" borderId="48" xfId="0" applyNumberFormat="1" applyFont="1" applyFill="1" applyBorder="1" applyAlignment="1">
      <alignment horizontal="center" vertical="center" wrapText="1"/>
    </xf>
    <xf numFmtId="49" fontId="9" fillId="0" borderId="47" xfId="0" applyNumberFormat="1" applyFont="1" applyFill="1" applyBorder="1" applyAlignment="1">
      <alignment horizontal="center" vertical="center" wrapText="1"/>
    </xf>
    <xf numFmtId="49" fontId="9" fillId="0" borderId="49" xfId="0" applyNumberFormat="1" applyFont="1" applyFill="1" applyBorder="1" applyAlignment="1">
      <alignment horizontal="center" vertical="center" wrapText="1"/>
    </xf>
    <xf numFmtId="49" fontId="9" fillId="0" borderId="11" xfId="6" applyNumberFormat="1" applyFont="1" applyFill="1" applyBorder="1" applyAlignment="1">
      <alignment vertical="center" wrapText="1"/>
    </xf>
    <xf numFmtId="49" fontId="9" fillId="0" borderId="24" xfId="0" applyNumberFormat="1" applyFont="1" applyFill="1" applyBorder="1" applyAlignment="1">
      <alignment horizontal="left" vertical="top" wrapText="1"/>
    </xf>
    <xf numFmtId="49" fontId="9" fillId="0" borderId="22" xfId="5" applyNumberFormat="1" applyFont="1" applyFill="1" applyBorder="1" applyAlignment="1">
      <alignment wrapText="1"/>
    </xf>
    <xf numFmtId="49" fontId="9" fillId="0" borderId="11" xfId="5" applyNumberFormat="1" applyFont="1" applyFill="1" applyBorder="1" applyAlignment="1">
      <alignment wrapText="1"/>
    </xf>
    <xf numFmtId="49" fontId="9" fillId="0" borderId="42" xfId="7" applyNumberFormat="1" applyFont="1" applyFill="1" applyBorder="1" applyAlignment="1">
      <alignment horizontal="center" vertical="center" wrapText="1"/>
    </xf>
    <xf numFmtId="49" fontId="9" fillId="0" borderId="14" xfId="7" applyNumberFormat="1" applyFont="1" applyFill="1" applyBorder="1" applyAlignment="1">
      <alignment horizontal="center" vertical="center" wrapText="1"/>
    </xf>
    <xf numFmtId="49" fontId="9" fillId="0" borderId="43" xfId="7" applyNumberFormat="1" applyFont="1" applyFill="1" applyBorder="1" applyAlignment="1">
      <alignment horizontal="center" vertical="center" wrapText="1"/>
    </xf>
    <xf numFmtId="49" fontId="9" fillId="0" borderId="1" xfId="0" applyNumberFormat="1" applyFont="1" applyFill="1" applyBorder="1" applyAlignment="1">
      <alignment horizontal="center" vertical="top" wrapText="1"/>
    </xf>
    <xf numFmtId="49" fontId="9" fillId="0" borderId="22" xfId="0" applyNumberFormat="1" applyFont="1" applyFill="1" applyBorder="1" applyAlignment="1">
      <alignment horizontal="center" vertical="top" wrapText="1"/>
    </xf>
    <xf numFmtId="49" fontId="9" fillId="0" borderId="14" xfId="0" applyNumberFormat="1" applyFont="1" applyFill="1" applyBorder="1" applyAlignment="1">
      <alignment horizontal="center" vertical="top" wrapText="1"/>
    </xf>
    <xf numFmtId="49" fontId="9" fillId="0" borderId="11" xfId="6" applyNumberFormat="1" applyFont="1" applyFill="1" applyBorder="1" applyAlignment="1">
      <alignment horizontal="center" vertical="center" wrapText="1"/>
    </xf>
    <xf numFmtId="49" fontId="9" fillId="0" borderId="31" xfId="0" applyNumberFormat="1" applyFont="1" applyFill="1" applyBorder="1" applyAlignment="1">
      <alignment horizontal="center" vertical="top" wrapText="1"/>
    </xf>
    <xf numFmtId="49" fontId="9" fillId="0" borderId="11" xfId="0" applyNumberFormat="1" applyFont="1" applyFill="1" applyBorder="1" applyAlignment="1">
      <alignment horizontal="center" vertical="top" wrapText="1"/>
    </xf>
    <xf numFmtId="49" fontId="9" fillId="0" borderId="15" xfId="0" applyNumberFormat="1" applyFont="1" applyFill="1" applyBorder="1" applyAlignment="1">
      <alignment horizontal="center" vertical="top" wrapText="1"/>
    </xf>
    <xf numFmtId="49" fontId="9" fillId="0" borderId="47" xfId="0" applyNumberFormat="1" applyFont="1" applyFill="1" applyBorder="1" applyAlignment="1">
      <alignment horizontal="center" vertical="top" wrapText="1"/>
    </xf>
    <xf numFmtId="49" fontId="9" fillId="0" borderId="22" xfId="6" applyNumberFormat="1" applyFont="1" applyFill="1" applyBorder="1" applyAlignment="1">
      <alignment horizontal="center" vertical="center" wrapText="1"/>
    </xf>
    <xf numFmtId="49" fontId="9" fillId="0" borderId="15" xfId="6" applyNumberFormat="1" applyFont="1" applyFill="1" applyBorder="1" applyAlignment="1">
      <alignment horizontal="center" vertical="center" wrapText="1"/>
    </xf>
    <xf numFmtId="49" fontId="9" fillId="0" borderId="11" xfId="5" applyNumberFormat="1" applyFont="1" applyFill="1" applyBorder="1" applyAlignment="1">
      <alignment horizontal="left" wrapText="1"/>
    </xf>
    <xf numFmtId="49" fontId="9" fillId="0" borderId="21" xfId="6" applyNumberFormat="1" applyFont="1" applyFill="1" applyBorder="1" applyAlignment="1">
      <alignment vertical="center" wrapText="1"/>
    </xf>
    <xf numFmtId="49" fontId="9" fillId="0" borderId="29" xfId="0" applyNumberFormat="1" applyFont="1" applyFill="1" applyBorder="1" applyAlignment="1">
      <alignment horizontal="center" vertical="center" wrapText="1"/>
    </xf>
    <xf numFmtId="0" fontId="21" fillId="0" borderId="0" xfId="0" applyFont="1"/>
    <xf numFmtId="49" fontId="9" fillId="0" borderId="11" xfId="0" applyNumberFormat="1" applyFont="1" applyFill="1" applyBorder="1" applyAlignment="1">
      <alignment horizontal="center" vertical="top" wrapText="1"/>
    </xf>
    <xf numFmtId="49" fontId="9" fillId="0" borderId="15" xfId="0" applyNumberFormat="1" applyFont="1" applyFill="1" applyBorder="1" applyAlignment="1">
      <alignment horizontal="center" vertical="top" wrapText="1"/>
    </xf>
    <xf numFmtId="49" fontId="9" fillId="0" borderId="47" xfId="0" applyNumberFormat="1" applyFont="1" applyFill="1" applyBorder="1" applyAlignment="1">
      <alignment horizontal="center" vertical="top" wrapText="1"/>
    </xf>
    <xf numFmtId="0" fontId="22" fillId="0" borderId="0" xfId="0" applyFont="1" applyAlignment="1">
      <alignment vertical="center"/>
    </xf>
    <xf numFmtId="0" fontId="0" fillId="0" borderId="0" xfId="0" applyAlignment="1">
      <alignment vertical="center" wrapText="1"/>
    </xf>
    <xf numFmtId="0" fontId="0" fillId="0" borderId="0" xfId="0" applyAlignment="1">
      <alignment vertical="center"/>
    </xf>
    <xf numFmtId="176" fontId="10" fillId="5" borderId="22" xfId="2" applyNumberFormat="1" applyFont="1" applyFill="1" applyBorder="1" applyAlignment="1">
      <alignment horizontal="center" vertical="center"/>
    </xf>
    <xf numFmtId="176" fontId="10" fillId="5" borderId="1" xfId="2" applyNumberFormat="1" applyFont="1" applyFill="1" applyBorder="1" applyAlignment="1">
      <alignment horizontal="center" vertical="center"/>
    </xf>
    <xf numFmtId="176" fontId="10" fillId="5" borderId="25" xfId="2" applyNumberFormat="1" applyFont="1" applyFill="1" applyBorder="1" applyAlignment="1">
      <alignment horizontal="center" vertical="center"/>
    </xf>
    <xf numFmtId="176" fontId="10" fillId="2" borderId="22" xfId="2" applyNumberFormat="1" applyFont="1" applyFill="1" applyBorder="1" applyAlignment="1">
      <alignment horizontal="center" vertical="center"/>
    </xf>
    <xf numFmtId="176" fontId="10" fillId="2" borderId="1" xfId="2" applyNumberFormat="1" applyFont="1" applyFill="1" applyBorder="1" applyAlignment="1">
      <alignment horizontal="center" vertical="center"/>
    </xf>
    <xf numFmtId="176" fontId="10" fillId="2" borderId="25" xfId="2" applyNumberFormat="1" applyFont="1" applyFill="1" applyBorder="1" applyAlignment="1">
      <alignment horizontal="center" vertical="center"/>
    </xf>
    <xf numFmtId="176" fontId="10" fillId="0" borderId="22" xfId="2" applyNumberFormat="1" applyFont="1" applyBorder="1" applyAlignment="1">
      <alignment horizontal="center" vertical="center"/>
    </xf>
    <xf numFmtId="176" fontId="10" fillId="0" borderId="1" xfId="2" applyNumberFormat="1" applyFont="1" applyBorder="1" applyAlignment="1">
      <alignment horizontal="center" vertical="center"/>
    </xf>
    <xf numFmtId="176" fontId="10" fillId="0" borderId="25" xfId="2" applyNumberFormat="1" applyFont="1" applyBorder="1" applyAlignment="1">
      <alignment horizontal="center" vertical="center"/>
    </xf>
    <xf numFmtId="176" fontId="10" fillId="4" borderId="22" xfId="2" applyNumberFormat="1" applyFont="1" applyFill="1" applyBorder="1" applyAlignment="1">
      <alignment horizontal="center" vertical="center"/>
    </xf>
    <xf numFmtId="176" fontId="10" fillId="4" borderId="1" xfId="2" applyNumberFormat="1" applyFont="1" applyFill="1" applyBorder="1" applyAlignment="1">
      <alignment horizontal="center" vertical="center"/>
    </xf>
    <xf numFmtId="176" fontId="10" fillId="4" borderId="25" xfId="2" applyNumberFormat="1" applyFont="1" applyFill="1" applyBorder="1" applyAlignment="1">
      <alignment horizontal="center" vertical="center"/>
    </xf>
    <xf numFmtId="176" fontId="10" fillId="0" borderId="22" xfId="2" applyNumberFormat="1" applyFont="1" applyBorder="1" applyAlignment="1" applyProtection="1">
      <alignment vertical="center" wrapText="1"/>
      <protection locked="0"/>
    </xf>
    <xf numFmtId="176" fontId="10" fillId="0" borderId="1" xfId="2" applyNumberFormat="1" applyFont="1" applyBorder="1" applyAlignment="1" applyProtection="1">
      <alignment vertical="center" wrapText="1"/>
      <protection locked="0"/>
    </xf>
    <xf numFmtId="176" fontId="10" fillId="0" borderId="25" xfId="2" applyNumberFormat="1" applyFont="1" applyBorder="1" applyAlignment="1" applyProtection="1">
      <alignment vertical="center" wrapText="1"/>
      <protection locked="0"/>
    </xf>
    <xf numFmtId="176" fontId="10" fillId="4" borderId="27" xfId="2" applyNumberFormat="1" applyFont="1" applyFill="1" applyBorder="1" applyAlignment="1">
      <alignment horizontal="center" vertical="center"/>
    </xf>
    <xf numFmtId="176" fontId="10" fillId="4" borderId="2" xfId="2" applyNumberFormat="1" applyFont="1" applyFill="1" applyBorder="1" applyAlignment="1">
      <alignment horizontal="center" vertical="center"/>
    </xf>
    <xf numFmtId="176" fontId="10" fillId="4" borderId="28" xfId="2" applyNumberFormat="1" applyFont="1" applyFill="1" applyBorder="1" applyAlignment="1">
      <alignment horizontal="center" vertical="center"/>
    </xf>
    <xf numFmtId="176" fontId="10" fillId="4" borderId="21" xfId="2" applyNumberFormat="1" applyFont="1" applyFill="1" applyBorder="1" applyAlignment="1">
      <alignment horizontal="center" vertical="center"/>
    </xf>
    <xf numFmtId="176" fontId="10" fillId="4" borderId="29" xfId="2" applyNumberFormat="1" applyFont="1" applyFill="1" applyBorder="1" applyAlignment="1">
      <alignment horizontal="center" vertical="center"/>
    </xf>
    <xf numFmtId="176" fontId="10" fillId="4" borderId="30" xfId="2" applyNumberFormat="1" applyFont="1" applyFill="1" applyBorder="1" applyAlignment="1">
      <alignment horizontal="center" vertical="center"/>
    </xf>
    <xf numFmtId="9" fontId="10" fillId="4" borderId="22" xfId="3" applyNumberFormat="1" applyFont="1" applyFill="1" applyBorder="1" applyAlignment="1">
      <alignment horizontal="center" vertical="center"/>
    </xf>
    <xf numFmtId="9" fontId="10" fillId="4" borderId="1" xfId="3" applyNumberFormat="1" applyFont="1" applyFill="1" applyBorder="1" applyAlignment="1">
      <alignment horizontal="center" vertical="center"/>
    </xf>
    <xf numFmtId="9" fontId="10" fillId="4" borderId="25" xfId="3" applyNumberFormat="1" applyFont="1" applyFill="1" applyBorder="1" applyAlignment="1">
      <alignment horizontal="center" vertical="center"/>
    </xf>
    <xf numFmtId="0" fontId="10" fillId="4" borderId="22" xfId="2" applyFont="1" applyFill="1" applyBorder="1" applyAlignment="1">
      <alignment horizontal="center" vertical="center"/>
    </xf>
    <xf numFmtId="0" fontId="10" fillId="4" borderId="1" xfId="2" applyFont="1" applyFill="1" applyBorder="1" applyAlignment="1">
      <alignment horizontal="center" vertical="center"/>
    </xf>
    <xf numFmtId="0" fontId="10" fillId="4" borderId="25" xfId="2" applyFont="1" applyFill="1" applyBorder="1" applyAlignment="1">
      <alignment horizontal="center" vertical="center"/>
    </xf>
    <xf numFmtId="0" fontId="10" fillId="7" borderId="21" xfId="0" applyFont="1" applyFill="1" applyBorder="1" applyAlignment="1">
      <alignment horizontal="center" vertical="center"/>
    </xf>
    <xf numFmtId="0" fontId="10" fillId="7" borderId="30" xfId="0" applyFont="1" applyFill="1" applyBorder="1" applyAlignment="1">
      <alignment horizontal="center" vertical="center"/>
    </xf>
    <xf numFmtId="0" fontId="10" fillId="7" borderId="29" xfId="0" applyFont="1" applyFill="1" applyBorder="1" applyAlignment="1">
      <alignment horizontal="center" vertical="center"/>
    </xf>
    <xf numFmtId="0" fontId="10" fillId="7" borderId="27" xfId="0" applyFont="1" applyFill="1" applyBorder="1" applyAlignment="1">
      <alignment horizontal="center" vertical="center"/>
    </xf>
    <xf numFmtId="0" fontId="10" fillId="7" borderId="28" xfId="0" applyFont="1" applyFill="1" applyBorder="1" applyAlignment="1">
      <alignment horizontal="center" vertical="center"/>
    </xf>
    <xf numFmtId="0" fontId="10" fillId="7" borderId="2" xfId="0" applyFont="1" applyFill="1" applyBorder="1" applyAlignment="1">
      <alignment horizontal="center" vertical="center"/>
    </xf>
    <xf numFmtId="0" fontId="10" fillId="2" borderId="21" xfId="0" applyFont="1" applyFill="1" applyBorder="1" applyAlignment="1">
      <alignment horizontal="center" vertical="center" wrapText="1"/>
    </xf>
    <xf numFmtId="0" fontId="10" fillId="2" borderId="29" xfId="0" applyFont="1" applyFill="1" applyBorder="1" applyAlignment="1">
      <alignment horizontal="center" vertical="center" wrapText="1"/>
    </xf>
    <xf numFmtId="0" fontId="10" fillId="2" borderId="30" xfId="0" applyFont="1" applyFill="1" applyBorder="1" applyAlignment="1">
      <alignment horizontal="center" vertical="center" wrapText="1"/>
    </xf>
    <xf numFmtId="0" fontId="10" fillId="2" borderId="27" xfId="0" applyFont="1" applyFill="1" applyBorder="1" applyAlignment="1">
      <alignment horizontal="center" vertical="center" wrapText="1"/>
    </xf>
    <xf numFmtId="0" fontId="10" fillId="2" borderId="2" xfId="0" applyFont="1" applyFill="1" applyBorder="1" applyAlignment="1">
      <alignment horizontal="center" vertical="center" wrapText="1"/>
    </xf>
    <xf numFmtId="0" fontId="10" fillId="2" borderId="28" xfId="0" applyFont="1" applyFill="1" applyBorder="1" applyAlignment="1">
      <alignment horizontal="center" vertical="center" wrapText="1"/>
    </xf>
    <xf numFmtId="0" fontId="10" fillId="5" borderId="27" xfId="0" applyFont="1" applyFill="1" applyBorder="1" applyAlignment="1">
      <alignment horizontal="center" vertical="center" wrapText="1"/>
    </xf>
    <xf numFmtId="0" fontId="10" fillId="5" borderId="2" xfId="0" applyFont="1" applyFill="1" applyBorder="1" applyAlignment="1">
      <alignment horizontal="center" vertical="center" wrapText="1"/>
    </xf>
    <xf numFmtId="0" fontId="10" fillId="5" borderId="28" xfId="0" applyFont="1" applyFill="1" applyBorder="1" applyAlignment="1">
      <alignment horizontal="center" vertical="center" wrapText="1"/>
    </xf>
    <xf numFmtId="0" fontId="10" fillId="5" borderId="21" xfId="0" applyFont="1" applyFill="1" applyBorder="1" applyAlignment="1">
      <alignment horizontal="center" vertical="center" wrapText="1"/>
    </xf>
    <xf numFmtId="0" fontId="10" fillId="5" borderId="29" xfId="0" applyFont="1" applyFill="1" applyBorder="1" applyAlignment="1">
      <alignment horizontal="center" vertical="center" wrapText="1"/>
    </xf>
    <xf numFmtId="0" fontId="10" fillId="5" borderId="30" xfId="0" applyFont="1" applyFill="1" applyBorder="1" applyAlignment="1">
      <alignment horizontal="center" vertical="center" wrapText="1"/>
    </xf>
    <xf numFmtId="0" fontId="10" fillId="7" borderId="22" xfId="0" applyFont="1" applyFill="1" applyBorder="1" applyAlignment="1">
      <alignment horizontal="center"/>
    </xf>
    <xf numFmtId="0" fontId="10" fillId="7" borderId="1" xfId="0" applyFont="1" applyFill="1" applyBorder="1" applyAlignment="1">
      <alignment horizontal="center"/>
    </xf>
    <xf numFmtId="0" fontId="10" fillId="7" borderId="25" xfId="0" applyFont="1" applyFill="1" applyBorder="1" applyAlignment="1">
      <alignment horizontal="center"/>
    </xf>
    <xf numFmtId="0" fontId="10" fillId="7" borderId="22" xfId="0" applyFont="1" applyFill="1" applyBorder="1" applyAlignment="1">
      <alignment horizontal="center" vertical="center"/>
    </xf>
    <xf numFmtId="0" fontId="10" fillId="7" borderId="1" xfId="0" applyFont="1" applyFill="1" applyBorder="1" applyAlignment="1">
      <alignment horizontal="center" vertical="center"/>
    </xf>
    <xf numFmtId="0" fontId="10" fillId="7" borderId="25" xfId="0" applyFont="1" applyFill="1" applyBorder="1" applyAlignment="1">
      <alignment horizontal="center" vertical="center"/>
    </xf>
    <xf numFmtId="0" fontId="20" fillId="3" borderId="0" xfId="2" applyFont="1" applyFill="1" applyAlignment="1">
      <alignment horizontal="center" vertical="center" wrapText="1"/>
    </xf>
    <xf numFmtId="0" fontId="11" fillId="6" borderId="4" xfId="0" applyFont="1" applyFill="1" applyBorder="1" applyAlignment="1" applyProtection="1">
      <alignment horizontal="center" vertical="center" wrapText="1"/>
      <protection locked="0"/>
    </xf>
    <xf numFmtId="0" fontId="11" fillId="6" borderId="3" xfId="0" applyFont="1" applyFill="1" applyBorder="1" applyAlignment="1" applyProtection="1">
      <alignment horizontal="center" vertical="center" wrapText="1"/>
      <protection locked="0"/>
    </xf>
    <xf numFmtId="0" fontId="11" fillId="6" borderId="26" xfId="0" applyFont="1" applyFill="1" applyBorder="1" applyAlignment="1" applyProtection="1">
      <alignment horizontal="center" vertical="center" wrapText="1"/>
      <protection locked="0"/>
    </xf>
    <xf numFmtId="49" fontId="9" fillId="0" borderId="27" xfId="5" applyNumberFormat="1" applyFont="1" applyFill="1" applyBorder="1" applyAlignment="1">
      <alignment horizontal="left" wrapText="1"/>
    </xf>
    <xf numFmtId="49" fontId="9" fillId="0" borderId="2" xfId="5" applyNumberFormat="1" applyFont="1" applyFill="1" applyBorder="1" applyAlignment="1">
      <alignment horizontal="left" wrapText="1"/>
    </xf>
    <xf numFmtId="49" fontId="9" fillId="0" borderId="22" xfId="5" applyNumberFormat="1" applyFont="1" applyFill="1" applyBorder="1" applyAlignment="1">
      <alignment horizontal="left" wrapText="1"/>
    </xf>
    <xf numFmtId="49" fontId="9" fillId="0" borderId="1" xfId="5" applyNumberFormat="1" applyFont="1" applyFill="1" applyBorder="1" applyAlignment="1">
      <alignment horizontal="left" wrapText="1"/>
    </xf>
    <xf numFmtId="49" fontId="15" fillId="0" borderId="32" xfId="6" applyNumberFormat="1" applyFont="1" applyFill="1" applyBorder="1" applyAlignment="1">
      <alignment horizontal="center" vertical="center" wrapText="1"/>
    </xf>
    <xf numFmtId="49" fontId="15" fillId="0" borderId="33" xfId="6" applyNumberFormat="1" applyFont="1" applyFill="1" applyBorder="1" applyAlignment="1">
      <alignment horizontal="center" vertical="center" wrapText="1"/>
    </xf>
    <xf numFmtId="49" fontId="9" fillId="0" borderId="20" xfId="6" applyNumberFormat="1" applyFont="1" applyFill="1" applyBorder="1" applyAlignment="1">
      <alignment vertical="center" wrapText="1"/>
    </xf>
    <xf numFmtId="49" fontId="9" fillId="0" borderId="34" xfId="6" applyNumberFormat="1" applyFont="1" applyFill="1" applyBorder="1" applyAlignment="1">
      <alignment vertical="center" wrapText="1"/>
    </xf>
    <xf numFmtId="49" fontId="9" fillId="0" borderId="35" xfId="6" applyNumberFormat="1" applyFont="1" applyFill="1" applyBorder="1" applyAlignment="1">
      <alignment vertical="center" wrapText="1"/>
    </xf>
    <xf numFmtId="49" fontId="9" fillId="0" borderId="22" xfId="6" applyNumberFormat="1" applyFont="1" applyFill="1" applyBorder="1" applyAlignment="1">
      <alignment vertical="center" wrapText="1"/>
    </xf>
    <xf numFmtId="49" fontId="9" fillId="0" borderId="1" xfId="6" applyNumberFormat="1" applyFont="1" applyFill="1" applyBorder="1" applyAlignment="1">
      <alignment vertical="center" wrapText="1"/>
    </xf>
    <xf numFmtId="49" fontId="9" fillId="0" borderId="25" xfId="6" applyNumberFormat="1" applyFont="1" applyFill="1" applyBorder="1" applyAlignment="1">
      <alignment vertical="center" wrapText="1"/>
    </xf>
    <xf numFmtId="49" fontId="17" fillId="0" borderId="32" xfId="6" applyNumberFormat="1" applyFont="1" applyFill="1" applyBorder="1" applyAlignment="1">
      <alignment horizontal="center" vertical="center" wrapText="1"/>
    </xf>
    <xf numFmtId="49" fontId="17" fillId="0" borderId="33" xfId="6" applyNumberFormat="1" applyFont="1" applyFill="1" applyBorder="1" applyAlignment="1">
      <alignment horizontal="center" vertical="center" wrapText="1"/>
    </xf>
    <xf numFmtId="49" fontId="17" fillId="0" borderId="36" xfId="6" applyNumberFormat="1" applyFont="1" applyFill="1" applyBorder="1" applyAlignment="1">
      <alignment horizontal="center" vertical="center" wrapText="1"/>
    </xf>
    <xf numFmtId="49" fontId="9" fillId="0" borderId="37" xfId="0" applyNumberFormat="1" applyFont="1" applyFill="1" applyBorder="1" applyAlignment="1">
      <alignment horizontal="left" vertical="top" wrapText="1"/>
    </xf>
    <xf numFmtId="49" fontId="9" fillId="0" borderId="23" xfId="0" applyNumberFormat="1" applyFont="1" applyFill="1" applyBorder="1" applyAlignment="1">
      <alignment horizontal="left" vertical="top" wrapText="1"/>
    </xf>
    <xf numFmtId="49" fontId="9" fillId="0" borderId="31" xfId="6" applyNumberFormat="1" applyFont="1" applyFill="1" applyBorder="1" applyAlignment="1">
      <alignment horizontal="center" vertical="center" wrapText="1"/>
    </xf>
    <xf numFmtId="49" fontId="16" fillId="0" borderId="32" xfId="6" applyNumberFormat="1" applyFont="1" applyFill="1" applyBorder="1" applyAlignment="1">
      <alignment horizontal="center" vertical="center" wrapText="1"/>
    </xf>
    <xf numFmtId="49" fontId="16" fillId="0" borderId="33" xfId="6" applyNumberFormat="1" applyFont="1" applyFill="1" applyBorder="1" applyAlignment="1">
      <alignment horizontal="center" vertical="center" wrapText="1"/>
    </xf>
    <xf numFmtId="49" fontId="9" fillId="0" borderId="22" xfId="0" applyNumberFormat="1" applyFont="1" applyFill="1" applyBorder="1" applyAlignment="1">
      <alignment horizontal="left" vertical="top" wrapText="1"/>
    </xf>
    <xf numFmtId="0" fontId="10" fillId="0" borderId="1" xfId="0" applyFont="1" applyBorder="1" applyAlignment="1">
      <alignment horizontal="left" vertical="top" wrapText="1"/>
    </xf>
    <xf numFmtId="49" fontId="4" fillId="0" borderId="27" xfId="0" applyNumberFormat="1" applyFont="1" applyFill="1" applyBorder="1" applyAlignment="1">
      <alignment horizontal="left" vertical="top" wrapText="1"/>
    </xf>
    <xf numFmtId="49" fontId="9" fillId="0" borderId="1" xfId="0" applyNumberFormat="1" applyFont="1" applyFill="1" applyBorder="1" applyAlignment="1">
      <alignment horizontal="left" vertical="top" wrapText="1"/>
    </xf>
    <xf numFmtId="49" fontId="9" fillId="0" borderId="31" xfId="0" applyNumberFormat="1" applyFont="1" applyFill="1" applyBorder="1" applyAlignment="1">
      <alignment horizontal="center" vertical="top" wrapText="1"/>
    </xf>
    <xf numFmtId="49" fontId="4" fillId="0" borderId="22" xfId="0" applyNumberFormat="1" applyFont="1" applyFill="1" applyBorder="1" applyAlignment="1">
      <alignment horizontal="left" vertical="top" wrapText="1"/>
    </xf>
    <xf numFmtId="49" fontId="9" fillId="0" borderId="20" xfId="6" applyNumberFormat="1" applyFont="1" applyFill="1" applyBorder="1" applyAlignment="1">
      <alignment horizontal="center" vertical="center"/>
    </xf>
    <xf numFmtId="49" fontId="9" fillId="0" borderId="34" xfId="6" applyNumberFormat="1" applyFont="1" applyFill="1" applyBorder="1" applyAlignment="1">
      <alignment horizontal="center" vertical="center"/>
    </xf>
    <xf numFmtId="49" fontId="9" fillId="0" borderId="35" xfId="6" applyNumberFormat="1" applyFont="1" applyFill="1" applyBorder="1" applyAlignment="1">
      <alignment horizontal="center" vertical="center"/>
    </xf>
    <xf numFmtId="49" fontId="9" fillId="0" borderId="38" xfId="6" applyNumberFormat="1" applyFont="1" applyFill="1" applyBorder="1" applyAlignment="1">
      <alignment horizontal="center" vertical="center"/>
    </xf>
    <xf numFmtId="49" fontId="9" fillId="0" borderId="39" xfId="6" applyNumberFormat="1" applyFont="1" applyFill="1" applyBorder="1" applyAlignment="1">
      <alignment horizontal="center" vertical="center"/>
    </xf>
    <xf numFmtId="49" fontId="9" fillId="0" borderId="40" xfId="6" applyNumberFormat="1" applyFont="1" applyFill="1" applyBorder="1" applyAlignment="1">
      <alignment horizontal="center" vertical="center"/>
    </xf>
    <xf numFmtId="49" fontId="9" fillId="0" borderId="38" xfId="6" applyNumberFormat="1" applyFont="1" applyFill="1" applyBorder="1" applyAlignment="1">
      <alignment horizontal="center" vertical="center" wrapText="1"/>
    </xf>
    <xf numFmtId="49" fontId="9" fillId="0" borderId="39" xfId="6" applyNumberFormat="1" applyFont="1" applyFill="1" applyBorder="1" applyAlignment="1">
      <alignment horizontal="center" vertical="center" wrapText="1"/>
    </xf>
    <xf numFmtId="49" fontId="9" fillId="0" borderId="40" xfId="6" applyNumberFormat="1" applyFont="1" applyFill="1" applyBorder="1" applyAlignment="1">
      <alignment horizontal="center" vertical="center" wrapText="1"/>
    </xf>
    <xf numFmtId="49" fontId="9" fillId="2" borderId="20" xfId="6" applyNumberFormat="1" applyFont="1" applyFill="1" applyBorder="1" applyAlignment="1">
      <alignment horizontal="center" vertical="center"/>
    </xf>
    <xf numFmtId="49" fontId="9" fillId="2" borderId="34" xfId="6" applyNumberFormat="1" applyFont="1" applyFill="1" applyBorder="1" applyAlignment="1">
      <alignment horizontal="center" vertical="center"/>
    </xf>
    <xf numFmtId="49" fontId="9" fillId="2" borderId="35" xfId="6" applyNumberFormat="1" applyFont="1" applyFill="1" applyBorder="1" applyAlignment="1">
      <alignment horizontal="center" vertical="center"/>
    </xf>
    <xf numFmtId="49" fontId="9" fillId="2" borderId="8" xfId="6" applyNumberFormat="1" applyFont="1" applyFill="1" applyBorder="1" applyAlignment="1">
      <alignment horizontal="center" vertical="center"/>
    </xf>
    <xf numFmtId="177" fontId="9" fillId="0" borderId="8" xfId="6" applyNumberFormat="1" applyFont="1" applyFill="1" applyBorder="1" applyAlignment="1">
      <alignment horizontal="center" vertical="center"/>
    </xf>
    <xf numFmtId="177" fontId="9" fillId="0" borderId="9" xfId="6" applyNumberFormat="1" applyFont="1" applyFill="1" applyBorder="1" applyAlignment="1">
      <alignment horizontal="center" vertical="center"/>
    </xf>
    <xf numFmtId="49" fontId="9" fillId="2" borderId="38" xfId="6" applyNumberFormat="1" applyFont="1" applyFill="1" applyBorder="1" applyAlignment="1">
      <alignment horizontal="center" vertical="center"/>
    </xf>
    <xf numFmtId="49" fontId="9" fillId="2" borderId="39" xfId="6" applyNumberFormat="1" applyFont="1" applyFill="1" applyBorder="1" applyAlignment="1">
      <alignment horizontal="center" vertical="center"/>
    </xf>
    <xf numFmtId="49" fontId="9" fillId="0" borderId="41" xfId="6" applyNumberFormat="1" applyFont="1" applyFill="1" applyBorder="1" applyAlignment="1">
      <alignment horizontal="center" vertical="center"/>
    </xf>
    <xf numFmtId="49" fontId="18" fillId="0" borderId="42" xfId="6" applyNumberFormat="1" applyFont="1" applyFill="1" applyBorder="1" applyAlignment="1">
      <alignment horizontal="center" vertical="center" wrapText="1"/>
    </xf>
    <xf numFmtId="49" fontId="18" fillId="0" borderId="43" xfId="6" applyNumberFormat="1" applyFont="1" applyFill="1" applyBorder="1" applyAlignment="1">
      <alignment horizontal="center" vertical="center" wrapText="1"/>
    </xf>
    <xf numFmtId="49" fontId="9" fillId="0" borderId="11" xfId="6" applyNumberFormat="1" applyFont="1" applyFill="1" applyBorder="1" applyAlignment="1">
      <alignment horizontal="center" vertical="center" wrapText="1"/>
    </xf>
    <xf numFmtId="0" fontId="9" fillId="0" borderId="22" xfId="6" applyNumberFormat="1" applyFont="1" applyFill="1" applyBorder="1" applyAlignment="1">
      <alignment horizontal="right" vertical="center" wrapText="1"/>
    </xf>
    <xf numFmtId="0" fontId="9" fillId="0" borderId="44" xfId="6" applyNumberFormat="1" applyFont="1" applyFill="1" applyBorder="1" applyAlignment="1">
      <alignment horizontal="right" vertical="center" wrapText="1"/>
    </xf>
    <xf numFmtId="49" fontId="9" fillId="0" borderId="41" xfId="6" applyNumberFormat="1" applyFont="1" applyFill="1" applyBorder="1" applyAlignment="1">
      <alignment horizontal="center" vertical="center" wrapText="1"/>
    </xf>
    <xf numFmtId="49" fontId="9" fillId="0" borderId="11" xfId="0" applyNumberFormat="1" applyFont="1" applyFill="1" applyBorder="1" applyAlignment="1">
      <alignment horizontal="left" vertical="top" wrapText="1"/>
    </xf>
    <xf numFmtId="49" fontId="9" fillId="0" borderId="12" xfId="0" applyNumberFormat="1" applyFont="1" applyFill="1" applyBorder="1" applyAlignment="1">
      <alignment horizontal="left" vertical="top" wrapText="1"/>
    </xf>
    <xf numFmtId="49" fontId="9" fillId="0" borderId="11" xfId="0" applyNumberFormat="1" applyFont="1" applyFill="1" applyBorder="1" applyAlignment="1">
      <alignment horizontal="center" vertical="top" wrapText="1"/>
    </xf>
    <xf numFmtId="49" fontId="9" fillId="0" borderId="25" xfId="0" applyNumberFormat="1" applyFont="1" applyFill="1" applyBorder="1" applyAlignment="1">
      <alignment horizontal="left" vertical="top" wrapText="1"/>
    </xf>
    <xf numFmtId="49" fontId="9" fillId="0" borderId="29" xfId="6" applyNumberFormat="1" applyFont="1" applyFill="1" applyBorder="1" applyAlignment="1">
      <alignment vertical="center" wrapText="1"/>
    </xf>
    <xf numFmtId="49" fontId="9" fillId="0" borderId="30" xfId="6" applyNumberFormat="1" applyFont="1" applyFill="1" applyBorder="1" applyAlignment="1">
      <alignment vertical="center" wrapText="1"/>
    </xf>
    <xf numFmtId="49" fontId="9" fillId="0" borderId="44" xfId="5" applyNumberFormat="1" applyFont="1" applyFill="1" applyBorder="1" applyAlignment="1">
      <alignment horizontal="left" wrapText="1"/>
    </xf>
    <xf numFmtId="49" fontId="9" fillId="0" borderId="15" xfId="5" applyNumberFormat="1" applyFont="1" applyFill="1" applyBorder="1" applyAlignment="1">
      <alignment horizontal="center" wrapText="1"/>
    </xf>
    <xf numFmtId="49" fontId="9" fillId="0" borderId="47" xfId="5" applyNumberFormat="1" applyFont="1" applyFill="1" applyBorder="1" applyAlignment="1">
      <alignment horizontal="center" wrapText="1"/>
    </xf>
    <xf numFmtId="49" fontId="9" fillId="0" borderId="45" xfId="0" applyNumberFormat="1" applyFont="1" applyFill="1" applyBorder="1" applyAlignment="1">
      <alignment horizontal="left" vertical="top" wrapText="1"/>
    </xf>
    <xf numFmtId="0" fontId="10" fillId="0" borderId="44" xfId="0" applyFont="1" applyBorder="1" applyAlignment="1">
      <alignment horizontal="left" vertical="top" wrapText="1"/>
    </xf>
    <xf numFmtId="49" fontId="9" fillId="0" borderId="44" xfId="0" applyNumberFormat="1" applyFont="1" applyFill="1" applyBorder="1" applyAlignment="1">
      <alignment horizontal="left" vertical="top" wrapText="1"/>
    </xf>
    <xf numFmtId="49" fontId="9" fillId="0" borderId="15" xfId="5" applyNumberFormat="1" applyFont="1" applyFill="1" applyBorder="1" applyAlignment="1">
      <alignment horizontal="left" wrapText="1"/>
    </xf>
    <xf numFmtId="49" fontId="9" fillId="0" borderId="31" xfId="5" applyNumberFormat="1" applyFont="1" applyFill="1" applyBorder="1" applyAlignment="1">
      <alignment horizontal="left" wrapText="1"/>
    </xf>
    <xf numFmtId="49" fontId="9" fillId="0" borderId="47" xfId="5" applyNumberFormat="1" applyFont="1" applyFill="1" applyBorder="1" applyAlignment="1">
      <alignment horizontal="left" wrapText="1"/>
    </xf>
    <xf numFmtId="49" fontId="9" fillId="0" borderId="27" xfId="0" applyNumberFormat="1" applyFont="1" applyFill="1" applyBorder="1" applyAlignment="1">
      <alignment horizontal="left" vertical="top" wrapText="1"/>
    </xf>
    <xf numFmtId="49" fontId="9" fillId="0" borderId="13" xfId="0" applyNumberFormat="1" applyFont="1" applyFill="1" applyBorder="1" applyAlignment="1">
      <alignment horizontal="left" vertical="top" wrapText="1"/>
    </xf>
    <xf numFmtId="49" fontId="9" fillId="0" borderId="51" xfId="0" applyNumberFormat="1" applyFont="1" applyFill="1" applyBorder="1" applyAlignment="1">
      <alignment horizontal="left" vertical="top" wrapText="1"/>
    </xf>
    <xf numFmtId="49" fontId="9" fillId="0" borderId="11" xfId="5" applyNumberFormat="1" applyFont="1" applyFill="1" applyBorder="1" applyAlignment="1">
      <alignment horizontal="left" wrapText="1"/>
    </xf>
    <xf numFmtId="49" fontId="9" fillId="0" borderId="12" xfId="5" applyNumberFormat="1" applyFont="1" applyFill="1" applyBorder="1" applyAlignment="1">
      <alignment horizontal="left" wrapText="1"/>
    </xf>
    <xf numFmtId="49" fontId="9" fillId="0" borderId="11" xfId="5" applyNumberFormat="1" applyFont="1" applyFill="1" applyBorder="1" applyAlignment="1">
      <alignment horizontal="center" wrapText="1"/>
    </xf>
    <xf numFmtId="49" fontId="9" fillId="0" borderId="11" xfId="7" applyNumberFormat="1" applyFont="1" applyFill="1" applyBorder="1" applyAlignment="1">
      <alignment horizontal="left" vertical="top" wrapText="1"/>
    </xf>
    <xf numFmtId="49" fontId="9" fillId="0" borderId="12" xfId="7" applyNumberFormat="1" applyFont="1" applyFill="1" applyBorder="1" applyAlignment="1">
      <alignment horizontal="left" vertical="top" wrapText="1"/>
    </xf>
    <xf numFmtId="49" fontId="9" fillId="0" borderId="22" xfId="7" applyNumberFormat="1" applyFont="1" applyFill="1" applyBorder="1" applyAlignment="1">
      <alignment horizontal="left" vertical="top" wrapText="1"/>
    </xf>
    <xf numFmtId="49" fontId="9" fillId="0" borderId="1" xfId="7" applyNumberFormat="1" applyFont="1" applyFill="1" applyBorder="1" applyAlignment="1">
      <alignment horizontal="left" vertical="top" wrapText="1"/>
    </xf>
    <xf numFmtId="49" fontId="9" fillId="0" borderId="44" xfId="7" applyNumberFormat="1" applyFont="1" applyFill="1" applyBorder="1" applyAlignment="1">
      <alignment horizontal="left" vertical="top" wrapText="1"/>
    </xf>
    <xf numFmtId="49" fontId="13" fillId="0" borderId="11" xfId="0" applyNumberFormat="1" applyFont="1" applyFill="1" applyBorder="1" applyAlignment="1">
      <alignment horizontal="left" vertical="top" wrapText="1"/>
    </xf>
    <xf numFmtId="49" fontId="9" fillId="0" borderId="15" xfId="0" applyNumberFormat="1" applyFont="1" applyFill="1" applyBorder="1" applyAlignment="1">
      <alignment horizontal="center" vertical="top" wrapText="1"/>
    </xf>
    <xf numFmtId="49" fontId="9" fillId="0" borderId="47" xfId="0" applyNumberFormat="1" applyFont="1" applyFill="1" applyBorder="1" applyAlignment="1">
      <alignment horizontal="center" vertical="top" wrapText="1"/>
    </xf>
    <xf numFmtId="49" fontId="9" fillId="0" borderId="46" xfId="0" applyNumberFormat="1" applyFont="1" applyFill="1" applyBorder="1" applyAlignment="1">
      <alignment horizontal="center" vertical="top" wrapText="1"/>
    </xf>
    <xf numFmtId="0" fontId="9" fillId="0" borderId="11" xfId="0" applyNumberFormat="1" applyFont="1" applyFill="1" applyBorder="1" applyAlignment="1">
      <alignment horizontal="left" vertical="top" wrapText="1"/>
    </xf>
    <xf numFmtId="0" fontId="9" fillId="0" borderId="22" xfId="0" applyNumberFormat="1" applyFont="1" applyFill="1" applyBorder="1" applyAlignment="1">
      <alignment horizontal="left" vertical="top" wrapText="1"/>
    </xf>
    <xf numFmtId="0" fontId="9" fillId="0" borderId="22" xfId="0" applyFont="1" applyBorder="1" applyAlignment="1">
      <alignment horizontal="left"/>
    </xf>
    <xf numFmtId="0" fontId="9" fillId="0" borderId="1" xfId="0" applyFont="1" applyBorder="1" applyAlignment="1">
      <alignment horizontal="left"/>
    </xf>
    <xf numFmtId="0" fontId="9" fillId="0" borderId="44" xfId="0" applyFont="1" applyBorder="1" applyAlignment="1">
      <alignment horizontal="left"/>
    </xf>
    <xf numFmtId="49" fontId="2" fillId="0" borderId="11" xfId="1" applyNumberFormat="1" applyFill="1" applyBorder="1" applyAlignment="1" applyProtection="1">
      <alignment horizontal="left" vertical="top" wrapText="1"/>
    </xf>
    <xf numFmtId="0" fontId="9" fillId="0" borderId="11" xfId="0" applyFont="1" applyBorder="1" applyAlignment="1">
      <alignment horizontal="left"/>
    </xf>
    <xf numFmtId="49" fontId="9" fillId="0" borderId="15" xfId="6" applyNumberFormat="1" applyFont="1" applyFill="1" applyBorder="1" applyAlignment="1">
      <alignment horizontal="center" vertical="center" wrapText="1"/>
    </xf>
    <xf numFmtId="49" fontId="9" fillId="0" borderId="47" xfId="6" applyNumberFormat="1" applyFont="1" applyFill="1" applyBorder="1" applyAlignment="1">
      <alignment horizontal="center" vertical="center" wrapText="1"/>
    </xf>
    <xf numFmtId="49" fontId="9" fillId="0" borderId="22" xfId="6" applyNumberFormat="1" applyFont="1" applyFill="1" applyBorder="1" applyAlignment="1">
      <alignment horizontal="center" vertical="center" wrapText="1"/>
    </xf>
    <xf numFmtId="49" fontId="9" fillId="0" borderId="1" xfId="6" applyNumberFormat="1" applyFont="1" applyFill="1" applyBorder="1" applyAlignment="1">
      <alignment horizontal="center" vertical="center" wrapText="1"/>
    </xf>
    <xf numFmtId="49" fontId="9" fillId="0" borderId="25" xfId="6" applyNumberFormat="1" applyFont="1" applyFill="1" applyBorder="1" applyAlignment="1">
      <alignment horizontal="center" vertical="center" wrapText="1"/>
    </xf>
    <xf numFmtId="49" fontId="9" fillId="0" borderId="8" xfId="0" applyNumberFormat="1" applyFont="1" applyFill="1" applyBorder="1" applyAlignment="1">
      <alignment horizontal="left" vertical="top" wrapText="1"/>
    </xf>
    <xf numFmtId="49" fontId="9" fillId="0" borderId="9" xfId="0" applyNumberFormat="1" applyFont="1" applyFill="1" applyBorder="1" applyAlignment="1">
      <alignment horizontal="left" vertical="top" wrapText="1"/>
    </xf>
    <xf numFmtId="49" fontId="9" fillId="0" borderId="31" xfId="5" applyNumberFormat="1" applyFont="1" applyFill="1" applyBorder="1" applyAlignment="1">
      <alignment horizontal="center" wrapText="1"/>
    </xf>
    <xf numFmtId="49" fontId="9" fillId="0" borderId="52" xfId="5" applyNumberFormat="1" applyFont="1" applyFill="1" applyBorder="1" applyAlignment="1">
      <alignment horizontal="left" wrapText="1"/>
    </xf>
    <xf numFmtId="49" fontId="9" fillId="0" borderId="22" xfId="5" applyNumberFormat="1" applyFont="1" applyFill="1" applyBorder="1" applyAlignment="1">
      <alignment wrapText="1"/>
    </xf>
    <xf numFmtId="49" fontId="9" fillId="0" borderId="1" xfId="5" applyNumberFormat="1" applyFont="1" applyFill="1" applyBorder="1" applyAlignment="1">
      <alignment wrapText="1"/>
    </xf>
    <xf numFmtId="49" fontId="9" fillId="0" borderId="44" xfId="5" applyNumberFormat="1" applyFont="1" applyFill="1" applyBorder="1" applyAlignment="1">
      <alignment wrapText="1"/>
    </xf>
    <xf numFmtId="49" fontId="9" fillId="0" borderId="46" xfId="5" applyNumberFormat="1" applyFont="1" applyFill="1" applyBorder="1" applyAlignment="1">
      <alignment horizontal="center" wrapText="1"/>
    </xf>
    <xf numFmtId="49" fontId="9" fillId="0" borderId="20" xfId="0" applyNumberFormat="1" applyFont="1" applyFill="1" applyBorder="1" applyAlignment="1">
      <alignment horizontal="left" vertical="top" wrapText="1"/>
    </xf>
    <xf numFmtId="49" fontId="9" fillId="0" borderId="34" xfId="0" applyNumberFormat="1" applyFont="1" applyFill="1" applyBorder="1" applyAlignment="1">
      <alignment horizontal="left" vertical="top" wrapText="1"/>
    </xf>
    <xf numFmtId="49" fontId="9" fillId="0" borderId="50" xfId="0" applyNumberFormat="1" applyFont="1" applyFill="1" applyBorder="1" applyAlignment="1">
      <alignment horizontal="left" vertical="top" wrapText="1"/>
    </xf>
    <xf numFmtId="0" fontId="10" fillId="0" borderId="11" xfId="0" applyFont="1" applyBorder="1" applyAlignment="1">
      <alignment horizontal="left" vertical="top" wrapText="1"/>
    </xf>
    <xf numFmtId="0" fontId="10" fillId="0" borderId="22" xfId="0" applyFont="1" applyBorder="1" applyAlignment="1">
      <alignment horizontal="left" vertical="top" wrapText="1"/>
    </xf>
    <xf numFmtId="0" fontId="13" fillId="0" borderId="11" xfId="0" applyFont="1" applyBorder="1" applyAlignment="1">
      <alignment horizontal="left"/>
    </xf>
    <xf numFmtId="0" fontId="9" fillId="0" borderId="11" xfId="6" applyNumberFormat="1" applyFont="1" applyFill="1" applyBorder="1" applyAlignment="1">
      <alignment horizontal="left" vertical="center" wrapText="1"/>
    </xf>
    <xf numFmtId="49" fontId="9" fillId="0" borderId="11" xfId="6" applyNumberFormat="1" applyFont="1" applyFill="1" applyBorder="1" applyAlignment="1">
      <alignment horizontal="left" vertical="center" wrapText="1"/>
    </xf>
    <xf numFmtId="49" fontId="9" fillId="0" borderId="22" xfId="6" applyNumberFormat="1" applyFont="1" applyFill="1" applyBorder="1" applyAlignment="1">
      <alignment horizontal="left" vertical="center" wrapText="1"/>
    </xf>
    <xf numFmtId="49" fontId="2" fillId="0" borderId="22" xfId="1" applyNumberFormat="1" applyFill="1" applyBorder="1" applyAlignment="1" applyProtection="1">
      <alignment horizontal="left" vertical="top" wrapText="1"/>
    </xf>
    <xf numFmtId="49" fontId="9" fillId="0" borderId="15" xfId="7" applyNumberFormat="1" applyFont="1" applyFill="1" applyBorder="1" applyAlignment="1">
      <alignment horizontal="left" vertical="top" wrapText="1"/>
    </xf>
    <xf numFmtId="49" fontId="9" fillId="0" borderId="27" xfId="7" applyNumberFormat="1" applyFont="1" applyFill="1" applyBorder="1" applyAlignment="1">
      <alignment horizontal="left" vertical="top" wrapText="1"/>
    </xf>
    <xf numFmtId="49" fontId="9" fillId="0" borderId="21" xfId="6" applyNumberFormat="1" applyFont="1" applyFill="1" applyBorder="1" applyAlignment="1">
      <alignment vertical="center" wrapText="1"/>
    </xf>
    <xf numFmtId="49" fontId="9" fillId="0" borderId="38" xfId="0" applyNumberFormat="1" applyFont="1" applyFill="1" applyBorder="1" applyAlignment="1">
      <alignment horizontal="left" vertical="top" wrapText="1"/>
    </xf>
    <xf numFmtId="49" fontId="9" fillId="0" borderId="39" xfId="0" applyNumberFormat="1" applyFont="1" applyFill="1" applyBorder="1" applyAlignment="1">
      <alignment horizontal="left" vertical="top" wrapText="1"/>
    </xf>
    <xf numFmtId="49" fontId="9" fillId="0" borderId="41" xfId="0" applyNumberFormat="1" applyFont="1" applyFill="1" applyBorder="1" applyAlignment="1">
      <alignment horizontal="left" vertical="top" wrapText="1"/>
    </xf>
    <xf numFmtId="49" fontId="9" fillId="0" borderId="18" xfId="5" applyNumberFormat="1" applyFont="1" applyFill="1" applyBorder="1" applyAlignment="1">
      <alignment horizontal="left" wrapText="1"/>
    </xf>
    <xf numFmtId="49" fontId="9" fillId="0" borderId="19" xfId="5" applyNumberFormat="1" applyFont="1" applyFill="1" applyBorder="1" applyAlignment="1">
      <alignment horizontal="left" wrapText="1"/>
    </xf>
    <xf numFmtId="49" fontId="24" fillId="8" borderId="53" xfId="6" applyNumberFormat="1" applyFont="1" applyFill="1" applyBorder="1" applyAlignment="1">
      <alignment vertical="center"/>
    </xf>
    <xf numFmtId="49" fontId="24" fillId="0" borderId="54" xfId="6" applyNumberFormat="1" applyFont="1" applyFill="1" applyBorder="1" applyAlignment="1">
      <alignment horizontal="center" vertical="center"/>
    </xf>
    <xf numFmtId="49" fontId="24" fillId="0" borderId="55" xfId="6" applyNumberFormat="1" applyFont="1" applyFill="1" applyBorder="1" applyAlignment="1">
      <alignment horizontal="center" vertical="center"/>
    </xf>
    <xf numFmtId="49" fontId="24" fillId="8" borderId="54" xfId="6" applyNumberFormat="1" applyFont="1" applyFill="1" applyBorder="1" applyAlignment="1">
      <alignment horizontal="center" vertical="center"/>
    </xf>
    <xf numFmtId="177" fontId="24" fillId="0" borderId="56" xfId="6" applyNumberFormat="1" applyFont="1" applyFill="1" applyBorder="1" applyAlignment="1">
      <alignment horizontal="center" vertical="center"/>
    </xf>
    <xf numFmtId="49" fontId="25" fillId="0" borderId="0" xfId="6" applyNumberFormat="1" applyFont="1" applyFill="1">
      <alignment vertical="center"/>
    </xf>
    <xf numFmtId="49" fontId="24" fillId="8" borderId="57" xfId="6" applyNumberFormat="1" applyFont="1" applyFill="1" applyBorder="1" applyAlignment="1">
      <alignment vertical="center"/>
    </xf>
    <xf numFmtId="49" fontId="24" fillId="0" borderId="58" xfId="6" applyNumberFormat="1" applyFont="1" applyFill="1" applyBorder="1" applyAlignment="1">
      <alignment horizontal="center" vertical="center"/>
    </xf>
    <xf numFmtId="49" fontId="24" fillId="0" borderId="59" xfId="8" applyNumberFormat="1" applyFont="1" applyFill="1" applyBorder="1" applyAlignment="1">
      <alignment horizontal="left" vertical="top" wrapText="1"/>
    </xf>
    <xf numFmtId="49" fontId="25" fillId="0" borderId="58" xfId="6" applyNumberFormat="1" applyFont="1" applyFill="1" applyBorder="1" applyAlignment="1">
      <alignment horizontal="center" vertical="center" wrapText="1"/>
    </xf>
    <xf numFmtId="49" fontId="25" fillId="0" borderId="58" xfId="6" applyNumberFormat="1" applyFont="1" applyFill="1" applyBorder="1" applyAlignment="1">
      <alignment horizontal="center" vertical="center"/>
    </xf>
    <xf numFmtId="49" fontId="24" fillId="8" borderId="60" xfId="6" applyNumberFormat="1" applyFont="1" applyFill="1" applyBorder="1" applyAlignment="1">
      <alignment horizontal="center" vertical="center"/>
    </xf>
    <xf numFmtId="49" fontId="24" fillId="0" borderId="61" xfId="6" applyNumberFormat="1" applyFont="1" applyFill="1" applyBorder="1" applyAlignment="1">
      <alignment horizontal="center" vertical="center"/>
    </xf>
    <xf numFmtId="49" fontId="26" fillId="0" borderId="62" xfId="6" applyNumberFormat="1" applyFont="1" applyFill="1" applyBorder="1" applyAlignment="1"/>
    <xf numFmtId="49" fontId="25" fillId="0" borderId="59" xfId="6" applyNumberFormat="1" applyFont="1" applyFill="1" applyBorder="1" applyAlignment="1"/>
    <xf numFmtId="49" fontId="26" fillId="0" borderId="0" xfId="6" applyNumberFormat="1" applyFont="1" applyFill="1" applyBorder="1" applyAlignment="1">
      <alignment horizontal="right" vertical="top" wrapText="1"/>
    </xf>
    <xf numFmtId="176" fontId="24" fillId="0" borderId="63" xfId="6" applyNumberFormat="1" applyFont="1" applyFill="1" applyBorder="1" applyAlignment="1">
      <alignment horizontal="center" vertical="center"/>
    </xf>
    <xf numFmtId="176" fontId="24" fillId="0" borderId="64" xfId="6" applyNumberFormat="1" applyFont="1" applyFill="1" applyBorder="1" applyAlignment="1">
      <alignment horizontal="center" vertical="center"/>
    </xf>
    <xf numFmtId="176" fontId="24" fillId="0" borderId="65" xfId="6" applyNumberFormat="1" applyFont="1" applyFill="1" applyBorder="1" applyAlignment="1">
      <alignment horizontal="center" vertical="center"/>
    </xf>
    <xf numFmtId="49" fontId="26" fillId="0" borderId="66" xfId="6" applyNumberFormat="1" applyFont="1" applyFill="1" applyBorder="1" applyAlignment="1">
      <alignment horizontal="center" vertical="center" wrapText="1"/>
    </xf>
    <xf numFmtId="49" fontId="24" fillId="0" borderId="23" xfId="8" applyNumberFormat="1" applyFont="1" applyFill="1" applyBorder="1" applyAlignment="1">
      <alignment horizontal="left" vertical="top" wrapText="1"/>
    </xf>
    <xf numFmtId="49" fontId="24" fillId="0" borderId="45" xfId="8" applyNumberFormat="1" applyFont="1" applyFill="1" applyBorder="1" applyAlignment="1">
      <alignment horizontal="left" vertical="top" wrapText="1"/>
    </xf>
    <xf numFmtId="49" fontId="25" fillId="0" borderId="54" xfId="8" applyNumberFormat="1" applyFont="1" applyFill="1" applyBorder="1" applyAlignment="1">
      <alignment horizontal="center" vertical="top" wrapText="1"/>
    </xf>
    <xf numFmtId="49" fontId="25" fillId="0" borderId="56" xfId="8" applyNumberFormat="1" applyFont="1" applyFill="1" applyBorder="1" applyAlignment="1">
      <alignment horizontal="center" vertical="top" wrapText="1"/>
    </xf>
    <xf numFmtId="49" fontId="25" fillId="0" borderId="0" xfId="6" applyNumberFormat="1" applyFont="1" applyFill="1" applyAlignment="1">
      <alignment vertical="center" wrapText="1"/>
    </xf>
    <xf numFmtId="49" fontId="26" fillId="0" borderId="68" xfId="6" applyNumberFormat="1" applyFont="1" applyFill="1" applyBorder="1" applyAlignment="1">
      <alignment horizontal="center" vertical="center" wrapText="1"/>
    </xf>
    <xf numFmtId="49" fontId="24" fillId="0" borderId="69" xfId="8" applyNumberFormat="1" applyFont="1" applyFill="1" applyBorder="1" applyAlignment="1">
      <alignment horizontal="left" vertical="top" wrapText="1"/>
    </xf>
    <xf numFmtId="49" fontId="24" fillId="0" borderId="70" xfId="8" applyNumberFormat="1" applyFont="1" applyFill="1" applyBorder="1" applyAlignment="1">
      <alignment horizontal="left" vertical="top" wrapText="1"/>
    </xf>
    <xf numFmtId="49" fontId="25" fillId="0" borderId="71" xfId="8" applyNumberFormat="1" applyFont="1" applyFill="1" applyBorder="1" applyAlignment="1">
      <alignment horizontal="center" vertical="center" wrapText="1"/>
    </xf>
    <xf numFmtId="49" fontId="25" fillId="0" borderId="72" xfId="8" applyNumberFormat="1" applyFont="1" applyFill="1" applyBorder="1" applyAlignment="1">
      <alignment horizontal="center" vertical="center" wrapText="1"/>
    </xf>
    <xf numFmtId="49" fontId="25" fillId="0" borderId="72" xfId="8" applyNumberFormat="1" applyFont="1" applyFill="1" applyBorder="1" applyAlignment="1">
      <alignment horizontal="center" vertical="top" wrapText="1"/>
    </xf>
    <xf numFmtId="49" fontId="25" fillId="0" borderId="73" xfId="8" applyNumberFormat="1" applyFont="1" applyFill="1" applyBorder="1" applyAlignment="1">
      <alignment horizontal="center" vertical="top" wrapText="1"/>
    </xf>
    <xf numFmtId="49" fontId="25" fillId="0" borderId="0" xfId="8" applyNumberFormat="1" applyFont="1" applyFill="1" applyBorder="1" applyAlignment="1">
      <alignment horizontal="left" vertical="top" wrapText="1"/>
    </xf>
    <xf numFmtId="49" fontId="24" fillId="0" borderId="73" xfId="7" applyNumberFormat="1" applyFont="1" applyFill="1" applyBorder="1" applyAlignment="1">
      <alignment horizontal="left" vertical="top" wrapText="1"/>
    </xf>
    <xf numFmtId="49" fontId="24" fillId="0" borderId="70" xfId="7" applyNumberFormat="1" applyFont="1" applyFill="1" applyBorder="1" applyAlignment="1">
      <alignment horizontal="left" vertical="top" wrapText="1"/>
    </xf>
    <xf numFmtId="49" fontId="25" fillId="0" borderId="74" xfId="8" applyNumberFormat="1" applyFont="1" applyFill="1" applyBorder="1" applyAlignment="1">
      <alignment horizontal="center" vertical="center" wrapText="1"/>
    </xf>
    <xf numFmtId="49" fontId="25" fillId="0" borderId="73" xfId="8" applyNumberFormat="1" applyFont="1" applyFill="1" applyBorder="1" applyAlignment="1">
      <alignment horizontal="center" vertical="center" wrapText="1"/>
    </xf>
    <xf numFmtId="49" fontId="26" fillId="0" borderId="75" xfId="6" applyNumberFormat="1" applyFont="1" applyFill="1" applyBorder="1" applyAlignment="1">
      <alignment horizontal="center" vertical="center" wrapText="1"/>
    </xf>
    <xf numFmtId="49" fontId="24" fillId="0" borderId="76" xfId="7" applyNumberFormat="1" applyFont="1" applyFill="1" applyBorder="1" applyAlignment="1">
      <alignment horizontal="left" vertical="top" wrapText="1"/>
    </xf>
    <xf numFmtId="49" fontId="24" fillId="0" borderId="77" xfId="7" applyNumberFormat="1" applyFont="1" applyFill="1" applyBorder="1" applyAlignment="1">
      <alignment horizontal="left" vertical="top" wrapText="1"/>
    </xf>
    <xf numFmtId="49" fontId="25" fillId="0" borderId="78" xfId="8" applyNumberFormat="1" applyFont="1" applyFill="1" applyBorder="1" applyAlignment="1">
      <alignment horizontal="center" vertical="center" wrapText="1"/>
    </xf>
    <xf numFmtId="49" fontId="25" fillId="0" borderId="54" xfId="8" applyNumberFormat="1" applyFont="1" applyFill="1" applyBorder="1" applyAlignment="1">
      <alignment horizontal="center" vertical="center" wrapText="1"/>
    </xf>
    <xf numFmtId="49" fontId="25" fillId="0" borderId="56" xfId="8" applyNumberFormat="1" applyFont="1" applyFill="1" applyBorder="1" applyAlignment="1">
      <alignment horizontal="center" vertical="center" wrapText="1"/>
    </xf>
    <xf numFmtId="49" fontId="25" fillId="0" borderId="79" xfId="6" applyNumberFormat="1" applyFont="1" applyFill="1" applyBorder="1" applyAlignment="1">
      <alignment horizontal="center" vertical="center" wrapText="1"/>
    </xf>
    <xf numFmtId="49" fontId="24" fillId="0" borderId="80" xfId="8" applyNumberFormat="1" applyFont="1" applyFill="1" applyBorder="1" applyAlignment="1">
      <alignment horizontal="left" vertical="top" wrapText="1"/>
    </xf>
    <xf numFmtId="49" fontId="24" fillId="0" borderId="81" xfId="8" applyNumberFormat="1" applyFont="1" applyFill="1" applyBorder="1" applyAlignment="1">
      <alignment horizontal="left" vertical="top" wrapText="1"/>
    </xf>
    <xf numFmtId="49" fontId="25" fillId="0" borderId="11" xfId="8" applyNumberFormat="1" applyFont="1" applyFill="1" applyBorder="1" applyAlignment="1">
      <alignment horizontal="center" vertical="center" wrapText="1"/>
    </xf>
    <xf numFmtId="49" fontId="25" fillId="0" borderId="82" xfId="8" applyNumberFormat="1" applyFont="1" applyFill="1" applyBorder="1" applyAlignment="1">
      <alignment horizontal="center" vertical="center" wrapText="1"/>
    </xf>
    <xf numFmtId="49" fontId="25" fillId="0" borderId="54" xfId="6" applyNumberFormat="1" applyFont="1" applyFill="1" applyBorder="1" applyAlignment="1">
      <alignment vertical="center" wrapText="1"/>
    </xf>
    <xf numFmtId="49" fontId="25" fillId="0" borderId="83" xfId="6" applyNumberFormat="1" applyFont="1" applyFill="1" applyBorder="1" applyAlignment="1">
      <alignment horizontal="center" vertical="center" wrapText="1"/>
    </xf>
    <xf numFmtId="49" fontId="24" fillId="0" borderId="67" xfId="6" applyNumberFormat="1" applyFont="1" applyFill="1" applyBorder="1" applyAlignment="1">
      <alignment horizontal="center" vertical="center" wrapText="1"/>
    </xf>
    <xf numFmtId="49" fontId="25" fillId="0" borderId="54" xfId="6" applyNumberFormat="1" applyFont="1" applyFill="1" applyBorder="1" applyAlignment="1">
      <alignment horizontal="center" vertical="center" wrapText="1"/>
    </xf>
    <xf numFmtId="49" fontId="25" fillId="0" borderId="56" xfId="6" applyNumberFormat="1" applyFont="1" applyFill="1" applyBorder="1" applyAlignment="1">
      <alignment horizontal="center" vertical="center" wrapText="1"/>
    </xf>
    <xf numFmtId="49" fontId="25" fillId="0" borderId="72" xfId="6" applyNumberFormat="1" applyFont="1" applyFill="1" applyBorder="1" applyAlignment="1">
      <alignment vertical="center" wrapText="1"/>
    </xf>
    <xf numFmtId="49" fontId="25" fillId="0" borderId="84" xfId="6" applyNumberFormat="1" applyFont="1" applyFill="1" applyBorder="1" applyAlignment="1">
      <alignment horizontal="center" vertical="center" wrapText="1"/>
    </xf>
    <xf numFmtId="49" fontId="25" fillId="0" borderId="74" xfId="6" applyNumberFormat="1" applyFont="1" applyFill="1" applyBorder="1" applyAlignment="1">
      <alignment horizontal="center" vertical="center" wrapText="1"/>
    </xf>
    <xf numFmtId="49" fontId="25" fillId="0" borderId="72" xfId="6" applyNumberFormat="1" applyFont="1" applyFill="1" applyBorder="1" applyAlignment="1">
      <alignment horizontal="center" vertical="center" wrapText="1"/>
    </xf>
    <xf numFmtId="49" fontId="25" fillId="0" borderId="73" xfId="6" applyNumberFormat="1" applyFont="1" applyFill="1" applyBorder="1" applyAlignment="1">
      <alignment horizontal="center" vertical="center" wrapText="1"/>
    </xf>
    <xf numFmtId="177" fontId="25" fillId="0" borderId="74" xfId="6" applyNumberFormat="1" applyFont="1" applyFill="1" applyBorder="1" applyAlignment="1">
      <alignment horizontal="center" vertical="center" wrapText="1"/>
    </xf>
    <xf numFmtId="177" fontId="25" fillId="0" borderId="72" xfId="6" applyNumberFormat="1" applyFont="1" applyFill="1" applyBorder="1" applyAlignment="1">
      <alignment horizontal="center" vertical="center" wrapText="1"/>
    </xf>
    <xf numFmtId="177" fontId="25" fillId="0" borderId="73" xfId="6" applyNumberFormat="1" applyFont="1" applyFill="1" applyBorder="1" applyAlignment="1">
      <alignment horizontal="center" vertical="center" wrapText="1"/>
    </xf>
    <xf numFmtId="49" fontId="25" fillId="0" borderId="70" xfId="6" applyNumberFormat="1" applyFont="1" applyFill="1" applyBorder="1" applyAlignment="1">
      <alignment horizontal="center" vertical="center" wrapText="1"/>
    </xf>
    <xf numFmtId="49" fontId="26" fillId="0" borderId="85" xfId="6" applyNumberFormat="1" applyFont="1" applyFill="1" applyBorder="1" applyAlignment="1">
      <alignment horizontal="center" vertical="center" wrapText="1"/>
    </xf>
    <xf numFmtId="49" fontId="25" fillId="0" borderId="72" xfId="6" applyNumberFormat="1" applyFont="1" applyFill="1" applyBorder="1" applyAlignment="1">
      <alignment horizontal="center" vertical="center" wrapText="1"/>
    </xf>
    <xf numFmtId="0" fontId="25" fillId="0" borderId="73" xfId="6" applyNumberFormat="1" applyFont="1" applyFill="1" applyBorder="1" applyAlignment="1">
      <alignment horizontal="right" vertical="center" wrapText="1"/>
    </xf>
    <xf numFmtId="0" fontId="25" fillId="0" borderId="70" xfId="6" applyNumberFormat="1" applyFont="1" applyFill="1" applyBorder="1" applyAlignment="1">
      <alignment horizontal="right" vertical="center" wrapText="1"/>
    </xf>
    <xf numFmtId="49" fontId="25" fillId="0" borderId="86" xfId="6" applyNumberFormat="1" applyFont="1" applyFill="1" applyBorder="1" applyAlignment="1">
      <alignment horizontal="center" vertical="center" wrapText="1"/>
    </xf>
    <xf numFmtId="49" fontId="25" fillId="0" borderId="87" xfId="6" applyNumberFormat="1" applyFont="1" applyFill="1" applyBorder="1" applyAlignment="1">
      <alignment horizontal="center" vertical="center" wrapText="1"/>
    </xf>
    <xf numFmtId="49" fontId="25" fillId="0" borderId="88" xfId="6" applyNumberFormat="1" applyFont="1" applyFill="1" applyBorder="1" applyAlignment="1">
      <alignment horizontal="center" vertical="center" wrapText="1"/>
    </xf>
    <xf numFmtId="49" fontId="26" fillId="0" borderId="89" xfId="6" applyNumberFormat="1" applyFont="1" applyFill="1" applyBorder="1" applyAlignment="1">
      <alignment horizontal="center" vertical="center" wrapText="1"/>
    </xf>
    <xf numFmtId="49" fontId="25" fillId="0" borderId="90" xfId="6" applyNumberFormat="1" applyFont="1" applyFill="1" applyBorder="1" applyAlignment="1">
      <alignment horizontal="center" vertical="center" wrapText="1"/>
    </xf>
    <xf numFmtId="49" fontId="25" fillId="0" borderId="91" xfId="6" applyNumberFormat="1" applyFont="1" applyFill="1" applyBorder="1" applyAlignment="1">
      <alignment horizontal="center" vertical="center" wrapText="1"/>
    </xf>
    <xf numFmtId="49" fontId="25" fillId="0" borderId="92" xfId="6" applyNumberFormat="1" applyFont="1" applyFill="1" applyBorder="1" applyAlignment="1">
      <alignment horizontal="center" vertical="center" wrapText="1"/>
    </xf>
    <xf numFmtId="0" fontId="25" fillId="0" borderId="93" xfId="6" applyNumberFormat="1" applyFont="1" applyFill="1" applyBorder="1" applyAlignment="1">
      <alignment horizontal="center" vertical="center" wrapText="1"/>
    </xf>
    <xf numFmtId="0" fontId="25" fillId="0" borderId="58" xfId="6" applyNumberFormat="1" applyFont="1" applyFill="1" applyBorder="1" applyAlignment="1">
      <alignment horizontal="center" vertical="center" wrapText="1"/>
    </xf>
    <xf numFmtId="0" fontId="25" fillId="0" borderId="61" xfId="6" applyNumberFormat="1" applyFont="1" applyFill="1" applyBorder="1" applyAlignment="1">
      <alignment horizontal="center" vertical="center" wrapText="1"/>
    </xf>
    <xf numFmtId="49" fontId="25" fillId="0" borderId="0" xfId="6" applyNumberFormat="1" applyFont="1" applyFill="1" applyAlignment="1">
      <alignment horizontal="center" vertical="center" wrapText="1"/>
    </xf>
    <xf numFmtId="49" fontId="25" fillId="0" borderId="59" xfId="6" applyNumberFormat="1" applyFont="1" applyFill="1" applyBorder="1" applyAlignment="1">
      <alignment horizontal="center" vertical="center" wrapText="1"/>
    </xf>
    <xf numFmtId="49" fontId="25" fillId="0" borderId="0" xfId="6" applyNumberFormat="1" applyFont="1" applyFill="1" applyBorder="1" applyAlignment="1">
      <alignment horizontal="center" vertical="center" wrapText="1"/>
    </xf>
    <xf numFmtId="49" fontId="25" fillId="0" borderId="0" xfId="6" applyNumberFormat="1" applyFont="1" applyFill="1" applyBorder="1">
      <alignment vertical="center"/>
    </xf>
    <xf numFmtId="49" fontId="25" fillId="0" borderId="0" xfId="6" applyNumberFormat="1" applyFont="1" applyFill="1" applyBorder="1" applyAlignment="1">
      <alignment vertical="center" wrapText="1"/>
    </xf>
    <xf numFmtId="49" fontId="25" fillId="0" borderId="0" xfId="6" applyNumberFormat="1" applyFont="1" applyFill="1" applyBorder="1" applyAlignment="1">
      <alignment horizontal="center" vertical="center"/>
    </xf>
    <xf numFmtId="49" fontId="24" fillId="0" borderId="0" xfId="7" applyNumberFormat="1" applyFont="1" applyFill="1" applyBorder="1" applyAlignment="1">
      <alignment horizontal="left" vertical="top" wrapText="1"/>
    </xf>
    <xf numFmtId="49" fontId="25" fillId="0" borderId="94" xfId="8" applyNumberFormat="1" applyFont="1" applyFill="1" applyBorder="1" applyAlignment="1">
      <alignment horizontal="center" vertical="center" wrapText="1"/>
    </xf>
    <xf numFmtId="49" fontId="25" fillId="0" borderId="95" xfId="8" applyNumberFormat="1" applyFont="1" applyFill="1" applyBorder="1" applyAlignment="1">
      <alignment horizontal="center" vertical="center" wrapText="1"/>
    </xf>
    <xf numFmtId="49" fontId="24" fillId="0" borderId="22" xfId="7" applyNumberFormat="1" applyFont="1" applyFill="1" applyBorder="1" applyAlignment="1">
      <alignment horizontal="left" vertical="top" wrapText="1"/>
    </xf>
    <xf numFmtId="49" fontId="24" fillId="0" borderId="1" xfId="7" applyNumberFormat="1" applyFont="1" applyFill="1" applyBorder="1" applyAlignment="1">
      <alignment horizontal="left" vertical="top" wrapText="1"/>
    </xf>
    <xf numFmtId="49" fontId="24" fillId="0" borderId="25" xfId="7" applyNumberFormat="1" applyFont="1" applyFill="1" applyBorder="1" applyAlignment="1">
      <alignment horizontal="left" vertical="top" wrapText="1"/>
    </xf>
    <xf numFmtId="49" fontId="24" fillId="0" borderId="11" xfId="7" applyNumberFormat="1" applyFont="1" applyFill="1" applyBorder="1" applyAlignment="1">
      <alignment vertical="top" wrapText="1"/>
    </xf>
  </cellXfs>
  <cellStyles count="9">
    <cellStyle name="Hyperlink" xfId="1" builtinId="8"/>
    <cellStyle name="Normal" xfId="0" builtinId="0"/>
    <cellStyle name="Normal 2" xfId="8"/>
    <cellStyle name="Normal_Program Check List1" xfId="7"/>
    <cellStyle name="Normal_単価テスト_財産管理" xfId="2"/>
    <cellStyle name="Percent" xfId="3" builtinId="5"/>
    <cellStyle name="標準_format(USI)" xfId="4"/>
    <cellStyle name="標準_Sheet1_コピー ～ 一括失効" xfId="5"/>
    <cellStyle name="標準_コピー ～ 一括失効" xfId="6"/>
  </cellStyles>
  <dxfs count="41">
    <dxf>
      <font>
        <b/>
        <i val="0"/>
        <condense val="0"/>
        <extend val="0"/>
        <color indexed="9"/>
      </font>
      <fill>
        <patternFill>
          <bgColor indexed="10"/>
        </patternFill>
      </fill>
    </dxf>
    <dxf>
      <font>
        <b/>
        <i val="0"/>
        <condense val="0"/>
        <extend val="0"/>
        <color indexed="9"/>
      </font>
      <fill>
        <patternFill>
          <bgColor indexed="10"/>
        </patternFill>
      </fill>
    </dxf>
    <dxf>
      <font>
        <b val="0"/>
        <condense val="0"/>
        <extend val="0"/>
        <sz val="11"/>
      </font>
      <fill>
        <patternFill patternType="solid">
          <fgColor indexed="22"/>
          <bgColor indexed="47"/>
        </patternFill>
      </fill>
    </dxf>
    <dxf>
      <font>
        <b val="0"/>
        <condense val="0"/>
        <extend val="0"/>
        <sz val="11"/>
        <color indexed="22"/>
      </font>
    </dxf>
    <dxf>
      <font>
        <b val="0"/>
        <condense val="0"/>
        <extend val="0"/>
        <sz val="11"/>
      </font>
      <fill>
        <patternFill patternType="solid">
          <fgColor indexed="22"/>
          <bgColor indexed="47"/>
        </patternFill>
      </fill>
    </dxf>
    <dxf>
      <font>
        <b val="0"/>
        <condense val="0"/>
        <extend val="0"/>
        <sz val="11"/>
        <color indexed="22"/>
      </font>
    </dxf>
    <dxf>
      <font>
        <b val="0"/>
        <condense val="0"/>
        <extend val="0"/>
        <sz val="11"/>
      </font>
      <fill>
        <patternFill patternType="solid">
          <fgColor indexed="22"/>
          <bgColor indexed="47"/>
        </patternFill>
      </fill>
    </dxf>
    <dxf>
      <font>
        <b val="0"/>
        <condense val="0"/>
        <extend val="0"/>
        <sz val="11"/>
        <color indexed="22"/>
      </font>
    </dxf>
    <dxf>
      <font>
        <b val="0"/>
        <condense val="0"/>
        <extend val="0"/>
        <sz val="11"/>
      </font>
      <fill>
        <patternFill patternType="solid">
          <fgColor indexed="22"/>
          <bgColor indexed="47"/>
        </patternFill>
      </fill>
    </dxf>
    <dxf>
      <font>
        <b val="0"/>
        <condense val="0"/>
        <extend val="0"/>
        <sz val="11"/>
        <color indexed="22"/>
      </font>
    </dxf>
    <dxf>
      <font>
        <b val="0"/>
        <condense val="0"/>
        <extend val="0"/>
        <sz val="11"/>
      </font>
      <fill>
        <patternFill patternType="solid">
          <fgColor indexed="22"/>
          <bgColor indexed="47"/>
        </patternFill>
      </fill>
    </dxf>
    <dxf>
      <font>
        <b val="0"/>
        <condense val="0"/>
        <extend val="0"/>
        <sz val="11"/>
        <color indexed="22"/>
      </font>
    </dxf>
    <dxf>
      <font>
        <b val="0"/>
        <condense val="0"/>
        <extend val="0"/>
        <sz val="11"/>
      </font>
      <fill>
        <patternFill patternType="solid">
          <fgColor indexed="22"/>
          <bgColor indexed="47"/>
        </patternFill>
      </fill>
    </dxf>
    <dxf>
      <font>
        <b val="0"/>
        <condense val="0"/>
        <extend val="0"/>
        <sz val="11"/>
        <color indexed="22"/>
      </font>
    </dxf>
    <dxf>
      <font>
        <b val="0"/>
        <condense val="0"/>
        <extend val="0"/>
        <sz val="11"/>
      </font>
      <fill>
        <patternFill patternType="solid">
          <fgColor indexed="22"/>
          <bgColor indexed="47"/>
        </patternFill>
      </fill>
    </dxf>
    <dxf>
      <font>
        <b val="0"/>
        <condense val="0"/>
        <extend val="0"/>
        <sz val="11"/>
        <color indexed="22"/>
      </font>
    </dxf>
    <dxf>
      <font>
        <b val="0"/>
        <condense val="0"/>
        <extend val="0"/>
        <sz val="11"/>
      </font>
      <fill>
        <patternFill patternType="solid">
          <fgColor indexed="22"/>
          <bgColor indexed="47"/>
        </patternFill>
      </fill>
    </dxf>
    <dxf>
      <font>
        <b val="0"/>
        <condense val="0"/>
        <extend val="0"/>
        <sz val="11"/>
        <color indexed="22"/>
      </font>
    </dxf>
    <dxf>
      <font>
        <b val="0"/>
        <condense val="0"/>
        <extend val="0"/>
        <sz val="11"/>
      </font>
      <fill>
        <patternFill patternType="solid">
          <fgColor indexed="22"/>
          <bgColor indexed="47"/>
        </patternFill>
      </fill>
    </dxf>
    <dxf>
      <font>
        <b val="0"/>
        <condense val="0"/>
        <extend val="0"/>
        <sz val="11"/>
        <color indexed="22"/>
      </font>
    </dxf>
    <dxf>
      <fill>
        <patternFill>
          <bgColor indexed="47"/>
        </patternFill>
      </fill>
    </dxf>
    <dxf>
      <font>
        <condense val="0"/>
        <extend val="0"/>
        <color indexed="22"/>
      </font>
    </dxf>
    <dxf>
      <fill>
        <patternFill>
          <bgColor indexed="47"/>
        </patternFill>
      </fill>
    </dxf>
    <dxf>
      <font>
        <condense val="0"/>
        <extend val="0"/>
        <color indexed="22"/>
      </font>
    </dxf>
    <dxf>
      <fill>
        <patternFill>
          <bgColor indexed="52"/>
        </patternFill>
      </fill>
    </dxf>
    <dxf>
      <fill>
        <patternFill>
          <bgColor indexed="47"/>
        </patternFill>
      </fill>
    </dxf>
    <dxf>
      <font>
        <condense val="0"/>
        <extend val="0"/>
        <color indexed="22"/>
      </font>
    </dxf>
    <dxf>
      <fill>
        <patternFill>
          <bgColor indexed="47"/>
        </patternFill>
      </fill>
    </dxf>
    <dxf>
      <font>
        <condense val="0"/>
        <extend val="0"/>
        <color indexed="22"/>
      </font>
    </dxf>
    <dxf>
      <fill>
        <patternFill>
          <bgColor indexed="47"/>
        </patternFill>
      </fill>
    </dxf>
    <dxf>
      <font>
        <condense val="0"/>
        <extend val="0"/>
        <color indexed="22"/>
      </font>
    </dxf>
    <dxf>
      <fill>
        <patternFill>
          <bgColor indexed="47"/>
        </patternFill>
      </fill>
    </dxf>
    <dxf>
      <font>
        <condense val="0"/>
        <extend val="0"/>
        <color indexed="22"/>
      </font>
    </dxf>
    <dxf>
      <fill>
        <patternFill>
          <bgColor indexed="47"/>
        </patternFill>
      </fill>
    </dxf>
    <dxf>
      <font>
        <condense val="0"/>
        <extend val="0"/>
        <color indexed="22"/>
      </font>
    </dxf>
    <dxf>
      <fill>
        <patternFill>
          <bgColor indexed="47"/>
        </patternFill>
      </fill>
    </dxf>
    <dxf>
      <font>
        <condense val="0"/>
        <extend val="0"/>
        <color indexed="22"/>
      </font>
    </dxf>
    <dxf>
      <fill>
        <patternFill>
          <bgColor indexed="47"/>
        </patternFill>
      </fill>
    </dxf>
    <dxf>
      <font>
        <condense val="0"/>
        <extend val="0"/>
        <color indexed="22"/>
      </font>
    </dxf>
    <dxf>
      <fill>
        <patternFill>
          <bgColor indexed="47"/>
        </patternFill>
      </fill>
    </dxf>
    <dxf>
      <font>
        <condense val="0"/>
        <extend val="0"/>
        <color indexed="22"/>
      </font>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3.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4</xdr:row>
      <xdr:rowOff>0</xdr:rowOff>
    </xdr:from>
    <xdr:to>
      <xdr:col>10</xdr:col>
      <xdr:colOff>544742</xdr:colOff>
      <xdr:row>46</xdr:row>
      <xdr:rowOff>105797</xdr:rowOff>
    </xdr:to>
    <xdr:pic>
      <xdr:nvPicPr>
        <xdr:cNvPr id="4" name="Picture 3" descr="Assignment4_1.png"/>
        <xdr:cNvPicPr>
          <a:picLocks noChangeAspect="1"/>
        </xdr:cNvPicPr>
      </xdr:nvPicPr>
      <xdr:blipFill>
        <a:blip xmlns:r="http://schemas.openxmlformats.org/officeDocument/2006/relationships" r:embed="rId1" cstate="print"/>
        <a:stretch>
          <a:fillRect/>
        </a:stretch>
      </xdr:blipFill>
      <xdr:spPr>
        <a:xfrm>
          <a:off x="2152650" y="857250"/>
          <a:ext cx="13012967" cy="7316222"/>
        </a:xfrm>
        <a:prstGeom prst="rect">
          <a:avLst/>
        </a:prstGeom>
      </xdr:spPr>
    </xdr:pic>
    <xdr:clientData/>
  </xdr:twoCellAnchor>
  <xdr:twoCellAnchor editAs="oneCell">
    <xdr:from>
      <xdr:col>1</xdr:col>
      <xdr:colOff>0</xdr:colOff>
      <xdr:row>51</xdr:row>
      <xdr:rowOff>0</xdr:rowOff>
    </xdr:from>
    <xdr:to>
      <xdr:col>10</xdr:col>
      <xdr:colOff>544742</xdr:colOff>
      <xdr:row>93</xdr:row>
      <xdr:rowOff>105797</xdr:rowOff>
    </xdr:to>
    <xdr:pic>
      <xdr:nvPicPr>
        <xdr:cNvPr id="5" name="Picture 4" descr="Assignment4_2.png"/>
        <xdr:cNvPicPr>
          <a:picLocks noChangeAspect="1"/>
        </xdr:cNvPicPr>
      </xdr:nvPicPr>
      <xdr:blipFill>
        <a:blip xmlns:r="http://schemas.openxmlformats.org/officeDocument/2006/relationships" r:embed="rId2" cstate="print"/>
        <a:stretch>
          <a:fillRect/>
        </a:stretch>
      </xdr:blipFill>
      <xdr:spPr>
        <a:xfrm>
          <a:off x="2152650" y="8924925"/>
          <a:ext cx="13012967" cy="731622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2</xdr:row>
      <xdr:rowOff>28575</xdr:rowOff>
    </xdr:from>
    <xdr:to>
      <xdr:col>6</xdr:col>
      <xdr:colOff>1409700</xdr:colOff>
      <xdr:row>2</xdr:row>
      <xdr:rowOff>447675</xdr:rowOff>
    </xdr:to>
    <xdr:sp macro="" textlink="">
      <xdr:nvSpPr>
        <xdr:cNvPr id="22594" name="Line 66"/>
        <xdr:cNvSpPr>
          <a:spLocks noChangeShapeType="1"/>
        </xdr:cNvSpPr>
      </xdr:nvSpPr>
      <xdr:spPr bwMode="auto">
        <a:xfrm>
          <a:off x="0" y="523875"/>
          <a:ext cx="3924300" cy="419100"/>
        </a:xfrm>
        <a:prstGeom prst="line">
          <a:avLst/>
        </a:prstGeom>
        <a:noFill/>
        <a:ln w="9525">
          <a:solidFill>
            <a:srgbClr val="000000"/>
          </a:solidFill>
          <a:round/>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xdr:row>
      <xdr:rowOff>28575</xdr:rowOff>
    </xdr:from>
    <xdr:to>
      <xdr:col>6</xdr:col>
      <xdr:colOff>1409700</xdr:colOff>
      <xdr:row>2</xdr:row>
      <xdr:rowOff>447675</xdr:rowOff>
    </xdr:to>
    <xdr:sp macro="" textlink="">
      <xdr:nvSpPr>
        <xdr:cNvPr id="112641" name="Line 1"/>
        <xdr:cNvSpPr>
          <a:spLocks noChangeShapeType="1"/>
        </xdr:cNvSpPr>
      </xdr:nvSpPr>
      <xdr:spPr bwMode="auto">
        <a:xfrm>
          <a:off x="0" y="523875"/>
          <a:ext cx="3924300" cy="419100"/>
        </a:xfrm>
        <a:prstGeom prst="line">
          <a:avLst/>
        </a:prstGeom>
        <a:noFill/>
        <a:ln w="9525">
          <a:solidFill>
            <a:srgbClr val="000000"/>
          </a:solidFill>
          <a:round/>
          <a:headEnd/>
          <a:tailEnd/>
        </a:ln>
      </xdr:spPr>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2</xdr:row>
      <xdr:rowOff>28575</xdr:rowOff>
    </xdr:from>
    <xdr:to>
      <xdr:col>6</xdr:col>
      <xdr:colOff>1409700</xdr:colOff>
      <xdr:row>2</xdr:row>
      <xdr:rowOff>447675</xdr:rowOff>
    </xdr:to>
    <xdr:sp macro="" textlink="">
      <xdr:nvSpPr>
        <xdr:cNvPr id="2" name="Line 66"/>
        <xdr:cNvSpPr>
          <a:spLocks noChangeShapeType="1"/>
        </xdr:cNvSpPr>
      </xdr:nvSpPr>
      <xdr:spPr bwMode="auto">
        <a:xfrm>
          <a:off x="0" y="523875"/>
          <a:ext cx="3924300" cy="419100"/>
        </a:xfrm>
        <a:prstGeom prst="line">
          <a:avLst/>
        </a:prstGeom>
        <a:noFill/>
        <a:ln w="9525">
          <a:solidFill>
            <a:srgbClr val="000000"/>
          </a:solidFill>
          <a:round/>
          <a:headEnd/>
          <a:tailEnd/>
        </a:ln>
      </xdr:spPr>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2</xdr:row>
      <xdr:rowOff>28575</xdr:rowOff>
    </xdr:from>
    <xdr:to>
      <xdr:col>6</xdr:col>
      <xdr:colOff>1409700</xdr:colOff>
      <xdr:row>2</xdr:row>
      <xdr:rowOff>447675</xdr:rowOff>
    </xdr:to>
    <xdr:sp macro="" textlink="">
      <xdr:nvSpPr>
        <xdr:cNvPr id="2" name="Line 66"/>
        <xdr:cNvSpPr>
          <a:spLocks noChangeShapeType="1"/>
        </xdr:cNvSpPr>
      </xdr:nvSpPr>
      <xdr:spPr bwMode="auto">
        <a:xfrm>
          <a:off x="0" y="523875"/>
          <a:ext cx="3924300" cy="419100"/>
        </a:xfrm>
        <a:prstGeom prst="line">
          <a:avLst/>
        </a:prstGeom>
        <a:noFill/>
        <a:ln w="9525">
          <a:solidFill>
            <a:srgbClr val="000000"/>
          </a:solidFill>
          <a:round/>
          <a:headEnd/>
          <a:tailEnd/>
        </a:ln>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0</xdr:colOff>
      <xdr:row>6</xdr:row>
      <xdr:rowOff>0</xdr:rowOff>
    </xdr:from>
    <xdr:to>
      <xdr:col>19</xdr:col>
      <xdr:colOff>649517</xdr:colOff>
      <xdr:row>48</xdr:row>
      <xdr:rowOff>115322</xdr:rowOff>
    </xdr:to>
    <xdr:pic>
      <xdr:nvPicPr>
        <xdr:cNvPr id="5" name="Picture 4" descr="Assignment4_1.png"/>
        <xdr:cNvPicPr>
          <a:picLocks noChangeAspect="1"/>
        </xdr:cNvPicPr>
      </xdr:nvPicPr>
      <xdr:blipFill>
        <a:blip xmlns:r="http://schemas.openxmlformats.org/officeDocument/2006/relationships" r:embed="rId1" cstate="print"/>
        <a:stretch>
          <a:fillRect/>
        </a:stretch>
      </xdr:blipFill>
      <xdr:spPr>
        <a:xfrm>
          <a:off x="2743200" y="1028700"/>
          <a:ext cx="13012967" cy="7316222"/>
        </a:xfrm>
        <a:prstGeom prst="rect">
          <a:avLst/>
        </a:prstGeom>
      </xdr:spPr>
    </xdr:pic>
    <xdr:clientData/>
  </xdr:twoCellAnchor>
  <xdr:twoCellAnchor editAs="oneCell">
    <xdr:from>
      <xdr:col>3</xdr:col>
      <xdr:colOff>0</xdr:colOff>
      <xdr:row>53</xdr:row>
      <xdr:rowOff>0</xdr:rowOff>
    </xdr:from>
    <xdr:to>
      <xdr:col>19</xdr:col>
      <xdr:colOff>649517</xdr:colOff>
      <xdr:row>95</xdr:row>
      <xdr:rowOff>115322</xdr:rowOff>
    </xdr:to>
    <xdr:pic>
      <xdr:nvPicPr>
        <xdr:cNvPr id="7" name="Picture 6" descr="Assignment1_2.png"/>
        <xdr:cNvPicPr>
          <a:picLocks noChangeAspect="1"/>
        </xdr:cNvPicPr>
      </xdr:nvPicPr>
      <xdr:blipFill>
        <a:blip xmlns:r="http://schemas.openxmlformats.org/officeDocument/2006/relationships" r:embed="rId2" cstate="print"/>
        <a:stretch>
          <a:fillRect/>
        </a:stretch>
      </xdr:blipFill>
      <xdr:spPr>
        <a:xfrm>
          <a:off x="2743200" y="9086850"/>
          <a:ext cx="13012967" cy="7316222"/>
        </a:xfrm>
        <a:prstGeom prst="rect">
          <a:avLst/>
        </a:prstGeom>
      </xdr:spPr>
    </xdr:pic>
    <xdr:clientData/>
  </xdr:twoCellAnchor>
  <xdr:twoCellAnchor editAs="oneCell">
    <xdr:from>
      <xdr:col>3</xdr:col>
      <xdr:colOff>0</xdr:colOff>
      <xdr:row>100</xdr:row>
      <xdr:rowOff>0</xdr:rowOff>
    </xdr:from>
    <xdr:to>
      <xdr:col>19</xdr:col>
      <xdr:colOff>649517</xdr:colOff>
      <xdr:row>142</xdr:row>
      <xdr:rowOff>115322</xdr:rowOff>
    </xdr:to>
    <xdr:pic>
      <xdr:nvPicPr>
        <xdr:cNvPr id="8" name="Picture 7" descr="Assignment4_2.png"/>
        <xdr:cNvPicPr>
          <a:picLocks noChangeAspect="1"/>
        </xdr:cNvPicPr>
      </xdr:nvPicPr>
      <xdr:blipFill>
        <a:blip xmlns:r="http://schemas.openxmlformats.org/officeDocument/2006/relationships" r:embed="rId3" cstate="print"/>
        <a:stretch>
          <a:fillRect/>
        </a:stretch>
      </xdr:blipFill>
      <xdr:spPr>
        <a:xfrm>
          <a:off x="2743200" y="17145000"/>
          <a:ext cx="13012967" cy="7316222"/>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ssignment8%20FileUpload.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Assignment"/>
      <sheetName val="Summary"/>
      <sheetName val="Page_Load"/>
      <sheetName val="Upload_Click"/>
      <sheetName val="Clear_Click"/>
      <sheetName val="GoBack_Click"/>
      <sheetName val="Evidence"/>
    </sheetNames>
    <sheetDataSet>
      <sheetData sheetId="0" refreshError="1"/>
      <sheetData sheetId="1" refreshError="1"/>
      <sheetData sheetId="2" refreshError="1"/>
      <sheetData sheetId="3" refreshError="1"/>
      <sheetData sheetId="4" refreshError="1"/>
      <sheetData sheetId="5" refreshError="1"/>
      <sheetData sheetId="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hyperlink" Target="mailto:vsp@gmail.com" TargetMode="External"/><Relationship Id="rId7" Type="http://schemas.openxmlformats.org/officeDocument/2006/relationships/comments" Target="../comments4.xml"/><Relationship Id="rId2" Type="http://schemas.openxmlformats.org/officeDocument/2006/relationships/hyperlink" Target="mailto:vsp123@gmail.com" TargetMode="External"/><Relationship Id="rId1" Type="http://schemas.openxmlformats.org/officeDocument/2006/relationships/hyperlink" Target="mailto:vsp@123" TargetMode="External"/><Relationship Id="rId6" Type="http://schemas.openxmlformats.org/officeDocument/2006/relationships/vmlDrawing" Target="../drawings/vmlDrawing4.vml"/><Relationship Id="rId5" Type="http://schemas.openxmlformats.org/officeDocument/2006/relationships/drawing" Target="../drawings/drawing4.xml"/><Relationship Id="rId4"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dimension ref="A2:B52"/>
  <sheetViews>
    <sheetView topLeftCell="A55" workbookViewId="0">
      <selection activeCell="A13" sqref="A13"/>
    </sheetView>
  </sheetViews>
  <sheetFormatPr defaultRowHeight="13.5"/>
  <cols>
    <col min="1" max="1" width="28.25" style="104" customWidth="1"/>
    <col min="2" max="2" width="91.625" style="104" customWidth="1"/>
    <col min="3" max="16384" width="9" style="104"/>
  </cols>
  <sheetData>
    <row r="2" spans="1:2" ht="27">
      <c r="A2" s="102" t="s">
        <v>187</v>
      </c>
      <c r="B2" s="103" t="s">
        <v>171</v>
      </c>
    </row>
    <row r="5" spans="1:2" ht="14.25">
      <c r="A5" s="102" t="s">
        <v>169</v>
      </c>
    </row>
    <row r="52" spans="1:1" ht="14.25">
      <c r="A52" s="102" t="s">
        <v>170</v>
      </c>
    </row>
  </sheetData>
  <phoneticPr fontId="3"/>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sheetPr codeName="Sheet1"/>
  <dimension ref="A1:AL33"/>
  <sheetViews>
    <sheetView view="pageBreakPreview" zoomScale="85" zoomScaleNormal="100" zoomScaleSheetLayoutView="85" workbookViewId="0">
      <pane ySplit="9" topLeftCell="A10" activePane="bottomLeft" state="frozen"/>
      <selection activeCell="A5" sqref="A5"/>
      <selection pane="bottomLeft" activeCell="L22" sqref="L22"/>
    </sheetView>
  </sheetViews>
  <sheetFormatPr defaultColWidth="2.625" defaultRowHeight="15"/>
  <cols>
    <col min="1" max="16384" width="2.625" style="3"/>
  </cols>
  <sheetData>
    <row r="1" spans="1:38" hidden="1"/>
    <row r="2" spans="1:38" hidden="1">
      <c r="B2" s="2" t="s">
        <v>14</v>
      </c>
      <c r="C2" s="2"/>
    </row>
    <row r="3" spans="1:38" s="4" customFormat="1" ht="13.5" hidden="1" customHeight="1">
      <c r="B3" s="111"/>
      <c r="C3" s="113"/>
      <c r="D3" s="117"/>
      <c r="E3" s="118"/>
      <c r="F3" s="118"/>
      <c r="G3" s="118"/>
      <c r="H3" s="118"/>
      <c r="I3" s="118"/>
      <c r="J3" s="119"/>
      <c r="K3" s="105">
        <f ca="1">IF($D3="",0,MAX(INDIRECT("'"&amp;$D3&amp;"'!$H3:$AZ3")))</f>
        <v>0</v>
      </c>
      <c r="L3" s="106"/>
      <c r="M3" s="106"/>
      <c r="N3" s="107"/>
      <c r="O3" s="111" t="str">
        <f ca="1">IF($D3="","",COUNTIF(INDIRECT("'"&amp;$D3&amp;"'!$H"&amp;ROW(INDIRECT("'"&amp;$D3&amp;"'!TestResult"))&amp;":$AZ"&amp;ROW(INDIRECT("'"&amp;$D3&amp;"'!TestResult"))),O$9))</f>
        <v/>
      </c>
      <c r="P3" s="112"/>
      <c r="Q3" s="113"/>
      <c r="R3" s="111" t="str">
        <f ca="1">IF($D3="","",COUNTIF(INDIRECT("'"&amp;$D3&amp;"'!$H"&amp;ROW(INDIRECT("'"&amp;$D3&amp;"'!TestResult"))&amp;":$AZ"&amp;ROW(INDIRECT("'"&amp;$D3&amp;"'!TestResult"))),R$9))</f>
        <v/>
      </c>
      <c r="S3" s="112"/>
      <c r="T3" s="113"/>
      <c r="U3" s="111" t="str">
        <f ca="1">IF($D3="","",COUNTIF(INDIRECT("'"&amp;$D3&amp;"'!$H"&amp;ROW(INDIRECT("'"&amp;$D3&amp;"'!TestResult"))&amp;":$AZ"&amp;ROW(INDIRECT("'"&amp;$D3&amp;"'!TestResult"))),U$9))</f>
        <v/>
      </c>
      <c r="V3" s="112"/>
      <c r="W3" s="113"/>
      <c r="X3" s="111" t="str">
        <f ca="1">IF($D3="","",COUNTIF(INDIRECT("'"&amp;$D3&amp;"'!$H"&amp;ROW(INDIRECT("'"&amp;$D3&amp;"'!TestResult"))&amp;":$AZ"&amp;ROW(INDIRECT("'"&amp;$D3&amp;"'!TestResult"))),X$9))</f>
        <v/>
      </c>
      <c r="Y3" s="112"/>
      <c r="Z3" s="113"/>
      <c r="AA3" s="105">
        <f ca="1">SUM(O3:Z3)</f>
        <v>0</v>
      </c>
      <c r="AB3" s="106"/>
      <c r="AC3" s="106"/>
      <c r="AD3" s="107"/>
      <c r="AE3" s="105">
        <f ca="1">K3-AA3</f>
        <v>0</v>
      </c>
      <c r="AF3" s="106"/>
      <c r="AG3" s="106"/>
      <c r="AH3" s="107"/>
      <c r="AI3" s="108" t="str">
        <f ca="1">IF($D3="","",SUM(INDIRECT("'"&amp;$D3&amp;"'!BugCount")))</f>
        <v/>
      </c>
      <c r="AJ3" s="109"/>
      <c r="AK3" s="109"/>
      <c r="AL3" s="110"/>
    </row>
    <row r="4" spans="1:38" s="59" customFormat="1" hidden="1">
      <c r="B4" s="57"/>
      <c r="C4" s="57"/>
      <c r="D4" s="58"/>
      <c r="E4" s="58"/>
      <c r="F4" s="58"/>
      <c r="G4" s="58"/>
      <c r="H4" s="58"/>
      <c r="I4" s="58"/>
      <c r="J4" s="58"/>
      <c r="K4" s="57"/>
      <c r="L4" s="57"/>
      <c r="M4" s="57"/>
      <c r="N4" s="57"/>
      <c r="O4" s="57"/>
      <c r="P4" s="57"/>
      <c r="Q4" s="57"/>
      <c r="R4" s="57"/>
      <c r="S4" s="57"/>
      <c r="T4" s="57"/>
      <c r="U4" s="57"/>
      <c r="V4" s="57"/>
      <c r="W4" s="57"/>
      <c r="X4" s="57"/>
      <c r="Y4" s="57"/>
      <c r="Z4" s="57"/>
      <c r="AA4" s="57"/>
      <c r="AB4" s="57"/>
      <c r="AC4" s="57"/>
      <c r="AD4" s="57"/>
      <c r="AE4" s="57"/>
      <c r="AF4" s="57"/>
      <c r="AG4" s="57"/>
      <c r="AH4" s="57"/>
      <c r="AI4" s="57"/>
      <c r="AJ4" s="57"/>
      <c r="AK4" s="57"/>
      <c r="AL4" s="57"/>
    </row>
    <row r="5" spans="1:38" ht="15.75" thickBot="1"/>
    <row r="6" spans="1:38" ht="14.25" customHeight="1" thickBot="1">
      <c r="B6" s="157" t="s">
        <v>152</v>
      </c>
      <c r="C6" s="158"/>
      <c r="D6" s="158"/>
      <c r="E6" s="158"/>
      <c r="F6" s="158"/>
      <c r="G6" s="158"/>
      <c r="H6" s="158"/>
      <c r="I6" s="158"/>
      <c r="J6" s="158"/>
      <c r="K6" s="158"/>
      <c r="L6" s="158"/>
      <c r="M6" s="158"/>
      <c r="N6" s="158"/>
      <c r="O6" s="158"/>
      <c r="P6" s="158"/>
      <c r="Q6" s="158"/>
      <c r="R6" s="158"/>
      <c r="S6" s="158"/>
      <c r="T6" s="158"/>
      <c r="U6" s="158"/>
      <c r="V6" s="158"/>
      <c r="W6" s="158"/>
      <c r="X6" s="158"/>
      <c r="Y6" s="158"/>
      <c r="Z6" s="158"/>
      <c r="AA6" s="158"/>
      <c r="AB6" s="158"/>
      <c r="AC6" s="158"/>
      <c r="AD6" s="158"/>
      <c r="AE6" s="158"/>
      <c r="AF6" s="158"/>
      <c r="AG6" s="158"/>
      <c r="AH6" s="158"/>
      <c r="AI6" s="158"/>
      <c r="AJ6" s="158"/>
      <c r="AK6" s="158"/>
      <c r="AL6" s="159"/>
    </row>
    <row r="8" spans="1:38" ht="13.5" customHeight="1">
      <c r="B8" s="135"/>
      <c r="C8" s="136"/>
      <c r="D8" s="135"/>
      <c r="E8" s="137"/>
      <c r="F8" s="137"/>
      <c r="G8" s="137"/>
      <c r="H8" s="137"/>
      <c r="I8" s="137"/>
      <c r="J8" s="136"/>
      <c r="K8" s="144" t="s">
        <v>2</v>
      </c>
      <c r="L8" s="145"/>
      <c r="M8" s="145"/>
      <c r="N8" s="146"/>
      <c r="O8" s="150" t="s">
        <v>1</v>
      </c>
      <c r="P8" s="151"/>
      <c r="Q8" s="151"/>
      <c r="R8" s="151"/>
      <c r="S8" s="151"/>
      <c r="T8" s="151"/>
      <c r="U8" s="151"/>
      <c r="V8" s="151"/>
      <c r="W8" s="151"/>
      <c r="X8" s="151"/>
      <c r="Y8" s="151"/>
      <c r="Z8" s="152"/>
      <c r="AA8" s="144" t="s">
        <v>33</v>
      </c>
      <c r="AB8" s="145"/>
      <c r="AC8" s="145"/>
      <c r="AD8" s="146"/>
      <c r="AE8" s="144" t="s">
        <v>33</v>
      </c>
      <c r="AF8" s="145"/>
      <c r="AG8" s="145"/>
      <c r="AH8" s="146"/>
      <c r="AI8" s="141"/>
      <c r="AJ8" s="142"/>
      <c r="AK8" s="142"/>
      <c r="AL8" s="143"/>
    </row>
    <row r="9" spans="1:38" s="4" customFormat="1">
      <c r="B9" s="132" t="s">
        <v>15</v>
      </c>
      <c r="C9" s="133"/>
      <c r="D9" s="132" t="s">
        <v>16</v>
      </c>
      <c r="E9" s="134"/>
      <c r="F9" s="134"/>
      <c r="G9" s="134"/>
      <c r="H9" s="134"/>
      <c r="I9" s="134"/>
      <c r="J9" s="133"/>
      <c r="K9" s="147" t="s">
        <v>31</v>
      </c>
      <c r="L9" s="148"/>
      <c r="M9" s="148"/>
      <c r="N9" s="149"/>
      <c r="O9" s="153" t="s">
        <v>17</v>
      </c>
      <c r="P9" s="154"/>
      <c r="Q9" s="155"/>
      <c r="R9" s="153" t="s">
        <v>18</v>
      </c>
      <c r="S9" s="154"/>
      <c r="T9" s="155"/>
      <c r="U9" s="153" t="s">
        <v>19</v>
      </c>
      <c r="V9" s="154"/>
      <c r="W9" s="155"/>
      <c r="X9" s="153" t="s">
        <v>20</v>
      </c>
      <c r="Y9" s="154"/>
      <c r="Z9" s="155"/>
      <c r="AA9" s="147" t="s">
        <v>32</v>
      </c>
      <c r="AB9" s="148"/>
      <c r="AC9" s="148"/>
      <c r="AD9" s="149"/>
      <c r="AE9" s="147" t="s">
        <v>34</v>
      </c>
      <c r="AF9" s="148"/>
      <c r="AG9" s="148"/>
      <c r="AH9" s="149"/>
      <c r="AI9" s="138" t="s">
        <v>35</v>
      </c>
      <c r="AJ9" s="139"/>
      <c r="AK9" s="139"/>
      <c r="AL9" s="140"/>
    </row>
    <row r="10" spans="1:38" s="4" customFormat="1">
      <c r="B10" s="111">
        <v>1</v>
      </c>
      <c r="C10" s="113"/>
      <c r="D10" s="117" t="s">
        <v>49</v>
      </c>
      <c r="E10" s="118"/>
      <c r="F10" s="118"/>
      <c r="G10" s="118"/>
      <c r="H10" s="118"/>
      <c r="I10" s="118"/>
      <c r="J10" s="119"/>
      <c r="K10" s="105">
        <f ca="1">IF($D10="",0,MAX(INDIRECT("'"&amp;$D10&amp;"'!$H3:$AZ3")))</f>
        <v>24</v>
      </c>
      <c r="L10" s="106"/>
      <c r="M10" s="106"/>
      <c r="N10" s="107"/>
      <c r="O10" s="111">
        <f ca="1">IF($D10="","",COUNTIF(INDIRECT("'"&amp;$D10&amp;"'!$H"&amp;ROW(INDIRECT("'"&amp;$D10&amp;"'!TestResult"))&amp;":$AZ"&amp;ROW(INDIRECT("'"&amp;$D10&amp;"'!TestResult"))),O$9))</f>
        <v>24</v>
      </c>
      <c r="P10" s="112"/>
      <c r="Q10" s="113"/>
      <c r="R10" s="111">
        <f ca="1">IF($D10="","",COUNTIF(INDIRECT("'"&amp;$D10&amp;"'!$H"&amp;ROW(INDIRECT("'"&amp;$D10&amp;"'!TestResult"))&amp;":$AZ"&amp;ROW(INDIRECT("'"&amp;$D10&amp;"'!TestResult"))),R$9))</f>
        <v>0</v>
      </c>
      <c r="S10" s="112"/>
      <c r="T10" s="113"/>
      <c r="U10" s="111">
        <f ca="1">IF($D10="","",COUNTIF(INDIRECT("'"&amp;$D10&amp;"'!$H"&amp;ROW(INDIRECT("'"&amp;$D10&amp;"'!TestResult"))&amp;":$AZ"&amp;ROW(INDIRECT("'"&amp;$D10&amp;"'!TestResult"))),U$9))</f>
        <v>0</v>
      </c>
      <c r="V10" s="112"/>
      <c r="W10" s="113"/>
      <c r="X10" s="111">
        <f ca="1">IF($D10="","",COUNTIF(INDIRECT("'"&amp;$D10&amp;"'!$H"&amp;ROW(INDIRECT("'"&amp;$D10&amp;"'!TestResult"))&amp;":$AZ"&amp;ROW(INDIRECT("'"&amp;$D10&amp;"'!TestResult"))),X$9))</f>
        <v>0</v>
      </c>
      <c r="Y10" s="112"/>
      <c r="Z10" s="113"/>
      <c r="AA10" s="105">
        <f ca="1">SUM(O10:Z10)</f>
        <v>24</v>
      </c>
      <c r="AB10" s="106"/>
      <c r="AC10" s="106"/>
      <c r="AD10" s="107"/>
      <c r="AE10" s="105">
        <f ca="1">K10-AA10</f>
        <v>0</v>
      </c>
      <c r="AF10" s="106"/>
      <c r="AG10" s="106"/>
      <c r="AH10" s="107"/>
      <c r="AI10" s="108">
        <f ca="1">IF($D10="","",SUM(INDIRECT("'"&amp;$D10&amp;"'!BugCount")))</f>
        <v>0</v>
      </c>
      <c r="AJ10" s="109"/>
      <c r="AK10" s="109"/>
      <c r="AL10" s="110"/>
    </row>
    <row r="11" spans="1:38" s="4" customFormat="1">
      <c r="B11" s="111">
        <v>2</v>
      </c>
      <c r="C11" s="113"/>
      <c r="D11" s="117" t="s">
        <v>54</v>
      </c>
      <c r="E11" s="118"/>
      <c r="F11" s="118"/>
      <c r="G11" s="118"/>
      <c r="H11" s="118"/>
      <c r="I11" s="118"/>
      <c r="J11" s="119"/>
      <c r="K11" s="105">
        <f ca="1">IF($D11="",0,MAX(INDIRECT("'"&amp;$D11&amp;"'!$H3:$AZ3")))</f>
        <v>22</v>
      </c>
      <c r="L11" s="106"/>
      <c r="M11" s="106"/>
      <c r="N11" s="107"/>
      <c r="O11" s="111">
        <f ca="1">IF($D11="","",COUNTIF(INDIRECT("'"&amp;$D11&amp;"'!$H"&amp;ROW(INDIRECT("'"&amp;$D11&amp;"'!TestResult"))&amp;":$AZ"&amp;ROW(INDIRECT("'"&amp;$D11&amp;"'!TestResult"))),O$9))</f>
        <v>22</v>
      </c>
      <c r="P11" s="112"/>
      <c r="Q11" s="113"/>
      <c r="R11" s="111">
        <f ca="1">IF($D11="","",COUNTIF(INDIRECT("'"&amp;$D11&amp;"'!$H"&amp;ROW(INDIRECT("'"&amp;$D11&amp;"'!TestResult"))&amp;":$AZ"&amp;ROW(INDIRECT("'"&amp;$D11&amp;"'!TestResult"))),R$9))</f>
        <v>0</v>
      </c>
      <c r="S11" s="112"/>
      <c r="T11" s="113"/>
      <c r="U11" s="111">
        <f ca="1">IF($D11="","",COUNTIF(INDIRECT("'"&amp;$D11&amp;"'!$H"&amp;ROW(INDIRECT("'"&amp;$D11&amp;"'!TestResult"))&amp;":$AZ"&amp;ROW(INDIRECT("'"&amp;$D11&amp;"'!TestResult"))),U$9))</f>
        <v>0</v>
      </c>
      <c r="V11" s="112"/>
      <c r="W11" s="113"/>
      <c r="X11" s="111">
        <f ca="1">IF($D11="","",COUNTIF(INDIRECT("'"&amp;$D11&amp;"'!$H"&amp;ROW(INDIRECT("'"&amp;$D11&amp;"'!TestResult"))&amp;":$AZ"&amp;ROW(INDIRECT("'"&amp;$D11&amp;"'!TestResult"))),X$9))</f>
        <v>0</v>
      </c>
      <c r="Y11" s="112"/>
      <c r="Z11" s="113"/>
      <c r="AA11" s="105">
        <f ca="1">SUM(O11:Z11)</f>
        <v>22</v>
      </c>
      <c r="AB11" s="106"/>
      <c r="AC11" s="106"/>
      <c r="AD11" s="107"/>
      <c r="AE11" s="105">
        <f ca="1">K11-AA11</f>
        <v>0</v>
      </c>
      <c r="AF11" s="106"/>
      <c r="AG11" s="106"/>
      <c r="AH11" s="107"/>
      <c r="AI11" s="108">
        <f ca="1">IF($D11="","",SUM(INDIRECT("'"&amp;$D11&amp;"'!BugCount")))</f>
        <v>0</v>
      </c>
      <c r="AJ11" s="109"/>
      <c r="AK11" s="109"/>
      <c r="AL11" s="110"/>
    </row>
    <row r="12" spans="1:38" s="4" customFormat="1">
      <c r="B12" s="111">
        <v>3</v>
      </c>
      <c r="C12" s="113"/>
      <c r="D12" s="117" t="s">
        <v>231</v>
      </c>
      <c r="E12" s="118"/>
      <c r="F12" s="118"/>
      <c r="G12" s="118"/>
      <c r="H12" s="118"/>
      <c r="I12" s="118"/>
      <c r="J12" s="119"/>
      <c r="K12" s="105">
        <f ca="1">IF($D12="",0,MAX(INDIRECT("'"&amp;$D12&amp;"'!$H3:$AZ3")))</f>
        <v>1</v>
      </c>
      <c r="L12" s="106"/>
      <c r="M12" s="106"/>
      <c r="N12" s="107"/>
      <c r="O12" s="111">
        <f ca="1">IF($D12="","",COUNTIF(INDIRECT("'"&amp;$D12&amp;"'!$H"&amp;ROW(INDIRECT("'"&amp;$D12&amp;"'!TestResult"))&amp;":$AZ"&amp;ROW(INDIRECT("'"&amp;$D12&amp;"'!TestResult"))),O$9))</f>
        <v>0</v>
      </c>
      <c r="P12" s="112"/>
      <c r="Q12" s="113"/>
      <c r="R12" s="111">
        <f ca="1">IF($D12="","",COUNTIF(INDIRECT("'"&amp;$D12&amp;"'!$H"&amp;ROW(INDIRECT("'"&amp;$D12&amp;"'!TestResult"))&amp;":$AZ"&amp;ROW(INDIRECT("'"&amp;$D12&amp;"'!TestResult"))),R$9))</f>
        <v>0</v>
      </c>
      <c r="S12" s="112"/>
      <c r="T12" s="113"/>
      <c r="U12" s="111">
        <f ca="1">IF($D12="","",COUNTIF(INDIRECT("'"&amp;$D12&amp;"'!$H"&amp;ROW(INDIRECT("'"&amp;$D12&amp;"'!TestResult"))&amp;":$AZ"&amp;ROW(INDIRECT("'"&amp;$D12&amp;"'!TestResult"))),U$9))</f>
        <v>0</v>
      </c>
      <c r="V12" s="112"/>
      <c r="W12" s="113"/>
      <c r="X12" s="111">
        <f ca="1">IF($D12="","",COUNTIF(INDIRECT("'"&amp;$D12&amp;"'!$H"&amp;ROW(INDIRECT("'"&amp;$D12&amp;"'!TestResult"))&amp;":$AZ"&amp;ROW(INDIRECT("'"&amp;$D12&amp;"'!TestResult"))),X$9))</f>
        <v>0</v>
      </c>
      <c r="Y12" s="112"/>
      <c r="Z12" s="113"/>
      <c r="AA12" s="105">
        <f ca="1">SUM(O12:Z12)</f>
        <v>0</v>
      </c>
      <c r="AB12" s="106"/>
      <c r="AC12" s="106"/>
      <c r="AD12" s="107"/>
      <c r="AE12" s="105">
        <f ca="1">K12-AA12</f>
        <v>1</v>
      </c>
      <c r="AF12" s="106"/>
      <c r="AG12" s="106"/>
      <c r="AH12" s="107"/>
      <c r="AI12" s="108">
        <f ca="1">IF($D12="","",SUM(INDIRECT("'"&amp;$D12&amp;"'!BugCount")))</f>
        <v>0</v>
      </c>
      <c r="AJ12" s="109"/>
      <c r="AK12" s="109"/>
      <c r="AL12" s="110"/>
    </row>
    <row r="13" spans="1:38" s="4" customFormat="1">
      <c r="B13" s="111">
        <v>4</v>
      </c>
      <c r="C13" s="113"/>
      <c r="D13" s="117" t="s">
        <v>102</v>
      </c>
      <c r="E13" s="118"/>
      <c r="F13" s="118"/>
      <c r="G13" s="118"/>
      <c r="H13" s="118"/>
      <c r="I13" s="118"/>
      <c r="J13" s="119"/>
      <c r="K13" s="105">
        <f ca="1">IF($D13="",0,MAX(INDIRECT("'"&amp;$D13&amp;"'!$H3:$AZ3")))</f>
        <v>1</v>
      </c>
      <c r="L13" s="106"/>
      <c r="M13" s="106"/>
      <c r="N13" s="107"/>
      <c r="O13" s="111">
        <f ca="1">IF($D13="","",COUNTIF(INDIRECT("'"&amp;$D13&amp;"'!$H"&amp;ROW(INDIRECT("'"&amp;$D13&amp;"'!TestResult"))&amp;":$AZ"&amp;ROW(INDIRECT("'"&amp;$D13&amp;"'!TestResult"))),O$9))</f>
        <v>1</v>
      </c>
      <c r="P13" s="112"/>
      <c r="Q13" s="113"/>
      <c r="R13" s="111">
        <f ca="1">IF($D13="","",COUNTIF(INDIRECT("'"&amp;$D13&amp;"'!$H"&amp;ROW(INDIRECT("'"&amp;$D13&amp;"'!TestResult"))&amp;":$AZ"&amp;ROW(INDIRECT("'"&amp;$D13&amp;"'!TestResult"))),R$9))</f>
        <v>0</v>
      </c>
      <c r="S13" s="112"/>
      <c r="T13" s="113"/>
      <c r="U13" s="111">
        <f ca="1">IF($D13="","",COUNTIF(INDIRECT("'"&amp;$D13&amp;"'!$H"&amp;ROW(INDIRECT("'"&amp;$D13&amp;"'!TestResult"))&amp;":$AZ"&amp;ROW(INDIRECT("'"&amp;$D13&amp;"'!TestResult"))),U$9))</f>
        <v>0</v>
      </c>
      <c r="V13" s="112"/>
      <c r="W13" s="113"/>
      <c r="X13" s="111">
        <f ca="1">IF($D13="","",COUNTIF(INDIRECT("'"&amp;$D13&amp;"'!$H"&amp;ROW(INDIRECT("'"&amp;$D13&amp;"'!TestResult"))&amp;":$AZ"&amp;ROW(INDIRECT("'"&amp;$D13&amp;"'!TestResult"))),X$9))</f>
        <v>0</v>
      </c>
      <c r="Y13" s="112"/>
      <c r="Z13" s="113"/>
      <c r="AA13" s="105">
        <f ca="1">SUM(O13:Z13)</f>
        <v>1</v>
      </c>
      <c r="AB13" s="106"/>
      <c r="AC13" s="106"/>
      <c r="AD13" s="107"/>
      <c r="AE13" s="105">
        <f ca="1">K13-AA13</f>
        <v>0</v>
      </c>
      <c r="AF13" s="106"/>
      <c r="AG13" s="106"/>
      <c r="AH13" s="107"/>
      <c r="AI13" s="108">
        <f ca="1">IF($D13="","",SUM(INDIRECT("'"&amp;$D13&amp;"'!BugCount")))</f>
        <v>0</v>
      </c>
      <c r="AJ13" s="109"/>
      <c r="AK13" s="109"/>
      <c r="AL13" s="110"/>
    </row>
    <row r="14" spans="1:38" s="8" customFormat="1" ht="20.25">
      <c r="B14" s="5"/>
      <c r="C14" s="5"/>
      <c r="D14" s="6"/>
      <c r="E14" s="52"/>
      <c r="F14" s="52"/>
      <c r="G14" s="52"/>
      <c r="H14" s="52"/>
      <c r="I14" s="52"/>
      <c r="J14" s="52"/>
      <c r="K14" s="7"/>
      <c r="L14" s="7"/>
      <c r="M14" s="7"/>
      <c r="N14" s="7"/>
      <c r="O14" s="5"/>
      <c r="P14" s="5"/>
      <c r="Q14" s="5"/>
      <c r="R14" s="5"/>
      <c r="S14" s="5"/>
      <c r="T14" s="5"/>
      <c r="U14" s="5"/>
      <c r="V14" s="5"/>
      <c r="W14" s="5"/>
      <c r="X14" s="5"/>
      <c r="Y14" s="5"/>
      <c r="Z14" s="5"/>
      <c r="AA14" s="5"/>
      <c r="AB14" s="5"/>
      <c r="AC14" s="5"/>
      <c r="AD14" s="5"/>
      <c r="AE14" s="5"/>
      <c r="AF14" s="7"/>
      <c r="AG14" s="7"/>
      <c r="AH14" s="7"/>
      <c r="AI14" s="7"/>
      <c r="AJ14" s="7"/>
      <c r="AK14" s="7"/>
      <c r="AL14" s="7"/>
    </row>
    <row r="15" spans="1:38" s="4" customFormat="1">
      <c r="A15" s="4" t="s">
        <v>41</v>
      </c>
      <c r="B15" s="129" t="s">
        <v>2</v>
      </c>
      <c r="C15" s="130"/>
      <c r="D15" s="130"/>
      <c r="E15" s="130"/>
      <c r="F15" s="130"/>
      <c r="G15" s="130"/>
      <c r="H15" s="130"/>
      <c r="I15" s="130"/>
      <c r="J15" s="131"/>
      <c r="K15" s="120">
        <f ca="1">SUBTOTAL(9,K9:K14)</f>
        <v>48</v>
      </c>
      <c r="L15" s="121"/>
      <c r="M15" s="121"/>
      <c r="N15" s="122"/>
      <c r="O15" s="114">
        <f ca="1">SUBTOTAL(9,O9:O14)</f>
        <v>47</v>
      </c>
      <c r="P15" s="115"/>
      <c r="Q15" s="116"/>
      <c r="R15" s="114">
        <f ca="1">SUBTOTAL(9,R9:R14)</f>
        <v>0</v>
      </c>
      <c r="S15" s="115"/>
      <c r="T15" s="116"/>
      <c r="U15" s="114">
        <f ca="1">SUBTOTAL(9,U9:U14)</f>
        <v>0</v>
      </c>
      <c r="V15" s="115"/>
      <c r="W15" s="116"/>
      <c r="X15" s="114">
        <f ca="1">SUBTOTAL(9,X9:X14)</f>
        <v>0</v>
      </c>
      <c r="Y15" s="115"/>
      <c r="Z15" s="116"/>
      <c r="AA15" s="114">
        <f ca="1">SUBTOTAL(9,AA9:AA14)</f>
        <v>47</v>
      </c>
      <c r="AB15" s="115"/>
      <c r="AC15" s="115"/>
      <c r="AD15" s="116"/>
      <c r="AE15" s="114">
        <f ca="1">SUBTOTAL(9,AE9:AE14)</f>
        <v>1</v>
      </c>
      <c r="AF15" s="115"/>
      <c r="AG15" s="115"/>
      <c r="AH15" s="116"/>
      <c r="AI15" s="120">
        <f ca="1">SUBTOTAL(9,AI9:AI14)</f>
        <v>0</v>
      </c>
      <c r="AJ15" s="121"/>
      <c r="AK15" s="121"/>
      <c r="AL15" s="122"/>
    </row>
    <row r="16" spans="1:38" s="4" customFormat="1" ht="12.75" customHeight="1">
      <c r="B16" s="129" t="s">
        <v>3</v>
      </c>
      <c r="C16" s="130"/>
      <c r="D16" s="130"/>
      <c r="E16" s="130"/>
      <c r="F16" s="130"/>
      <c r="G16" s="130"/>
      <c r="H16" s="130"/>
      <c r="I16" s="130"/>
      <c r="J16" s="131"/>
      <c r="K16" s="123"/>
      <c r="L16" s="124"/>
      <c r="M16" s="124"/>
      <c r="N16" s="125"/>
      <c r="O16" s="126">
        <f ca="1">IF(ISERR(O15/$K$15),0,O15/$K$15)</f>
        <v>0.97916666666666663</v>
      </c>
      <c r="P16" s="127"/>
      <c r="Q16" s="128"/>
      <c r="R16" s="126">
        <f ca="1">IF(ISERR(R15/$K$15),0,R15/$K$15)</f>
        <v>0</v>
      </c>
      <c r="S16" s="127"/>
      <c r="T16" s="128"/>
      <c r="U16" s="126">
        <f ca="1">IF(ISERR(U15/$K$15),0,U15/$K$15)</f>
        <v>0</v>
      </c>
      <c r="V16" s="127"/>
      <c r="W16" s="128"/>
      <c r="X16" s="126">
        <f ca="1">IF(ISERR(X15/$K$15),0,X15/$K$15)</f>
        <v>0</v>
      </c>
      <c r="Y16" s="127"/>
      <c r="Z16" s="128"/>
      <c r="AA16" s="126">
        <f ca="1">IF(ISERR(AA15/$K$15),0,AA15/$K$15)</f>
        <v>0.97916666666666663</v>
      </c>
      <c r="AB16" s="127"/>
      <c r="AC16" s="127"/>
      <c r="AD16" s="128"/>
      <c r="AE16" s="126">
        <f ca="1">IF(ISERR(AE15/$K$15),0,AE15/$K$15)</f>
        <v>2.0833333333333332E-2</v>
      </c>
      <c r="AF16" s="127"/>
      <c r="AG16" s="127"/>
      <c r="AH16" s="128"/>
      <c r="AI16" s="123"/>
      <c r="AJ16" s="124"/>
      <c r="AK16" s="124"/>
      <c r="AL16" s="125"/>
    </row>
    <row r="32" spans="2:15" ht="15" customHeight="1">
      <c r="B32" s="156" t="s">
        <v>48</v>
      </c>
      <c r="C32" s="156"/>
      <c r="D32" s="156"/>
      <c r="E32" s="156"/>
      <c r="F32" s="156"/>
      <c r="G32" s="156"/>
      <c r="H32" s="156"/>
      <c r="I32" s="156"/>
      <c r="J32" s="156"/>
      <c r="K32" s="156"/>
      <c r="L32" s="156"/>
      <c r="M32" s="156"/>
      <c r="N32" s="156"/>
      <c r="O32" s="156"/>
    </row>
    <row r="33" spans="2:15">
      <c r="B33" s="156"/>
      <c r="C33" s="156"/>
      <c r="D33" s="156"/>
      <c r="E33" s="156"/>
      <c r="F33" s="156"/>
      <c r="G33" s="156"/>
      <c r="H33" s="156"/>
      <c r="I33" s="156"/>
      <c r="J33" s="156"/>
      <c r="K33" s="156"/>
      <c r="L33" s="156"/>
      <c r="M33" s="156"/>
      <c r="N33" s="156"/>
      <c r="O33" s="156"/>
    </row>
  </sheetData>
  <sheetProtection autoFilter="0"/>
  <autoFilter ref="B9:AL9">
    <filterColumn colId="0" showButton="0"/>
    <filterColumn colId="2" showButton="0"/>
    <filterColumn colId="3" showButton="0"/>
    <filterColumn colId="4" showButton="0"/>
    <filterColumn colId="5" showButton="0"/>
    <filterColumn colId="6" showButton="0"/>
    <filterColumn colId="7" showButton="0"/>
    <filterColumn colId="9" showButton="0"/>
    <filterColumn colId="10" showButton="0"/>
    <filterColumn colId="11" showButton="0"/>
    <filterColumn colId="13" showButton="0"/>
    <filterColumn colId="14" showButton="0"/>
    <filterColumn colId="16" showButton="0"/>
    <filterColumn colId="17" showButton="0"/>
    <filterColumn colId="19" showButton="0"/>
    <filterColumn colId="20" showButton="0"/>
    <filterColumn colId="22" showButton="0"/>
    <filterColumn colId="23" showButton="0"/>
    <filterColumn colId="25" showButton="0"/>
    <filterColumn colId="26" showButton="0"/>
    <filterColumn colId="27" showButton="0"/>
    <filterColumn colId="29" showButton="0"/>
    <filterColumn colId="30" showButton="0"/>
    <filterColumn colId="31" showButton="0"/>
    <filterColumn colId="33" showButton="0"/>
    <filterColumn colId="34" showButton="0"/>
    <filterColumn colId="35" showButton="0"/>
  </autoFilter>
  <dataConsolidate function="average"/>
  <mergeCells count="85">
    <mergeCell ref="AA12:AD12"/>
    <mergeCell ref="AE12:AH12"/>
    <mergeCell ref="AI12:AL12"/>
    <mergeCell ref="K12:N12"/>
    <mergeCell ref="O12:Q12"/>
    <mergeCell ref="R12:T12"/>
    <mergeCell ref="U12:W12"/>
    <mergeCell ref="X12:Z12"/>
    <mergeCell ref="B32:O33"/>
    <mergeCell ref="U16:W16"/>
    <mergeCell ref="AE3:AH3"/>
    <mergeCell ref="AI3:AL3"/>
    <mergeCell ref="B3:C3"/>
    <mergeCell ref="D3:J3"/>
    <mergeCell ref="K3:N3"/>
    <mergeCell ref="O3:Q3"/>
    <mergeCell ref="R3:T3"/>
    <mergeCell ref="U3:W3"/>
    <mergeCell ref="X3:Z3"/>
    <mergeCell ref="AA3:AD3"/>
    <mergeCell ref="B6:AL6"/>
    <mergeCell ref="AI10:AL10"/>
    <mergeCell ref="O9:Q9"/>
    <mergeCell ref="K9:N9"/>
    <mergeCell ref="B8:C8"/>
    <mergeCell ref="D8:J8"/>
    <mergeCell ref="AI9:AL9"/>
    <mergeCell ref="K10:N10"/>
    <mergeCell ref="R10:T10"/>
    <mergeCell ref="AI8:AL8"/>
    <mergeCell ref="K8:N8"/>
    <mergeCell ref="AA9:AD9"/>
    <mergeCell ref="AA8:AD8"/>
    <mergeCell ref="O8:Z8"/>
    <mergeCell ref="X9:Z9"/>
    <mergeCell ref="R9:T9"/>
    <mergeCell ref="U9:W9"/>
    <mergeCell ref="AE8:AH8"/>
    <mergeCell ref="AE9:AH9"/>
    <mergeCell ref="AI15:AL16"/>
    <mergeCell ref="AE10:AH10"/>
    <mergeCell ref="AE15:AH15"/>
    <mergeCell ref="AE16:AH16"/>
    <mergeCell ref="X11:Z11"/>
    <mergeCell ref="AA11:AD11"/>
    <mergeCell ref="AE11:AH11"/>
    <mergeCell ref="X16:Z16"/>
    <mergeCell ref="X10:Z10"/>
    <mergeCell ref="X15:Z15"/>
    <mergeCell ref="AA10:AD10"/>
    <mergeCell ref="AA15:AD15"/>
    <mergeCell ref="AA13:AD13"/>
    <mergeCell ref="AI11:AL11"/>
    <mergeCell ref="AA16:AD16"/>
    <mergeCell ref="X13:Z13"/>
    <mergeCell ref="B16:J16"/>
    <mergeCell ref="B10:C10"/>
    <mergeCell ref="B9:C9"/>
    <mergeCell ref="D9:J9"/>
    <mergeCell ref="B13:C13"/>
    <mergeCell ref="D13:J13"/>
    <mergeCell ref="B12:C12"/>
    <mergeCell ref="D12:J12"/>
    <mergeCell ref="R15:T15"/>
    <mergeCell ref="U10:W10"/>
    <mergeCell ref="U15:W15"/>
    <mergeCell ref="D10:J10"/>
    <mergeCell ref="B11:C11"/>
    <mergeCell ref="D11:J11"/>
    <mergeCell ref="K11:N11"/>
    <mergeCell ref="O11:Q11"/>
    <mergeCell ref="K15:N16"/>
    <mergeCell ref="O10:Q10"/>
    <mergeCell ref="O15:Q15"/>
    <mergeCell ref="O16:Q16"/>
    <mergeCell ref="R16:T16"/>
    <mergeCell ref="R11:T11"/>
    <mergeCell ref="U11:W11"/>
    <mergeCell ref="B15:J15"/>
    <mergeCell ref="AE13:AH13"/>
    <mergeCell ref="AI13:AL13"/>
    <mergeCell ref="K13:N13"/>
    <mergeCell ref="O13:Q13"/>
    <mergeCell ref="R13:T13"/>
    <mergeCell ref="U13:W13"/>
  </mergeCells>
  <phoneticPr fontId="3"/>
  <conditionalFormatting sqref="K14:AL14 K4:AL4 AI3:AL3 K3:AE3 AI10:AL13 K10:AE13">
    <cfRule type="cellIs" dxfId="1" priority="1" stopIfTrue="1" operator="lessThan">
      <formula>0</formula>
    </cfRule>
  </conditionalFormatting>
  <printOptions horizontalCentered="1"/>
  <pageMargins left="0.55118110236220474" right="0.46" top="0.98425196850393704" bottom="0.98425196850393704" header="0.51181102362204722" footer="0.51181102362204722"/>
  <pageSetup paperSize="9" scale="90" orientation="portrait" r:id="rId1"/>
  <headerFooter alignWithMargins="0">
    <oddHeader>&amp;LUKS-FMT-GBL-211-02.03&amp;C&amp;F:&amp;A&amp;R&amp;"Arial,Regular"&amp;10UKS-REC-XXX-XXX</oddHeader>
    <oddFooter>&amp;L&amp;"Arial,Regular"&amp;10Unikaihatsu Software Pvt.Ltd.&amp;C&amp;10This document is uncontrolled after printed.&amp;R&amp;"Arial,Regular"&amp;10Page &amp;P of &amp;N</oddFooter>
  </headerFooter>
  <legacyDrawing r:id="rId2"/>
</worksheet>
</file>

<file path=xl/worksheets/sheet3.xml><?xml version="1.0" encoding="utf-8"?>
<worksheet xmlns="http://schemas.openxmlformats.org/spreadsheetml/2006/main" xmlns:r="http://schemas.openxmlformats.org/officeDocument/2006/relationships">
  <sheetPr codeName="Sheet2"/>
  <dimension ref="A1:AF30"/>
  <sheetViews>
    <sheetView view="pageBreakPreview" zoomScale="85" zoomScaleNormal="70" workbookViewId="0">
      <pane xSplit="7" ySplit="3" topLeftCell="J7" activePane="bottomRight" state="frozen"/>
      <selection activeCell="A5" sqref="A5"/>
      <selection pane="topRight" activeCell="A5" sqref="A5"/>
      <selection pane="bottomLeft" activeCell="A5" sqref="A5"/>
      <selection pane="bottomRight" activeCell="B1" sqref="B1:E1"/>
    </sheetView>
  </sheetViews>
  <sheetFormatPr defaultColWidth="3.625" defaultRowHeight="12"/>
  <cols>
    <col min="1" max="1" width="9.75" style="9" customWidth="1"/>
    <col min="2" max="3" width="2.625" style="9" customWidth="1"/>
    <col min="4" max="5" width="2.625" style="50" customWidth="1"/>
    <col min="6" max="7" width="15.625" style="50" customWidth="1"/>
    <col min="8" max="22" width="3.625" style="51" customWidth="1"/>
    <col min="23" max="16384" width="3.625" style="1"/>
  </cols>
  <sheetData>
    <row r="1" spans="1:32" ht="20.100000000000001" customHeight="1">
      <c r="A1" s="63" t="s">
        <v>5</v>
      </c>
      <c r="B1" s="186" t="s">
        <v>8</v>
      </c>
      <c r="C1" s="187"/>
      <c r="D1" s="187"/>
      <c r="E1" s="188"/>
      <c r="F1" s="186" t="s">
        <v>6</v>
      </c>
      <c r="G1" s="187"/>
      <c r="H1" s="187"/>
      <c r="I1" s="187"/>
      <c r="J1" s="187"/>
      <c r="K1" s="187"/>
      <c r="L1" s="187"/>
      <c r="M1" s="187"/>
      <c r="N1" s="187"/>
      <c r="O1" s="188"/>
      <c r="P1" s="195" t="s">
        <v>0</v>
      </c>
      <c r="Q1" s="196"/>
      <c r="R1" s="196"/>
      <c r="S1" s="197"/>
      <c r="T1" s="186" t="s">
        <v>9</v>
      </c>
      <c r="U1" s="187"/>
      <c r="V1" s="187"/>
      <c r="W1" s="187"/>
      <c r="X1" s="187"/>
      <c r="Y1" s="187"/>
      <c r="Z1" s="188"/>
      <c r="AA1" s="198" t="s">
        <v>10</v>
      </c>
      <c r="AB1" s="198"/>
      <c r="AC1" s="199"/>
      <c r="AD1" s="199"/>
      <c r="AE1" s="199"/>
      <c r="AF1" s="200"/>
    </row>
    <row r="2" spans="1:32" ht="20.100000000000001" customHeight="1" thickBot="1">
      <c r="A2" s="64" t="s">
        <v>4</v>
      </c>
      <c r="B2" s="189" t="s">
        <v>8</v>
      </c>
      <c r="C2" s="190"/>
      <c r="D2" s="190"/>
      <c r="E2" s="191"/>
      <c r="F2" s="189" t="s">
        <v>7</v>
      </c>
      <c r="G2" s="190"/>
      <c r="H2" s="191"/>
      <c r="I2" s="192" t="s">
        <v>11</v>
      </c>
      <c r="J2" s="193"/>
      <c r="K2" s="193"/>
      <c r="L2" s="193"/>
      <c r="M2" s="193"/>
      <c r="N2" s="193"/>
      <c r="O2" s="194"/>
      <c r="P2" s="189"/>
      <c r="Q2" s="190"/>
      <c r="R2" s="190"/>
      <c r="S2" s="190"/>
      <c r="T2" s="190"/>
      <c r="U2" s="190"/>
      <c r="V2" s="190"/>
      <c r="W2" s="190"/>
      <c r="X2" s="190"/>
      <c r="Y2" s="190"/>
      <c r="Z2" s="191"/>
      <c r="AA2" s="201" t="s">
        <v>12</v>
      </c>
      <c r="AB2" s="202"/>
      <c r="AC2" s="189" t="s">
        <v>13</v>
      </c>
      <c r="AD2" s="190"/>
      <c r="AE2" s="190"/>
      <c r="AF2" s="203"/>
    </row>
    <row r="3" spans="1:32" ht="37.5" customHeight="1" thickBot="1">
      <c r="A3" s="66" t="s">
        <v>42</v>
      </c>
      <c r="B3" s="10"/>
      <c r="C3" s="10"/>
      <c r="D3" s="10"/>
      <c r="E3" s="10"/>
      <c r="F3" s="10"/>
      <c r="G3" s="65" t="s">
        <v>43</v>
      </c>
      <c r="H3" s="11" t="str">
        <f>IF(COUNTA(H4:H24)&gt;0,1,"")</f>
        <v/>
      </c>
      <c r="I3" s="12" t="str">
        <f t="shared" ref="I3:AF3" si="0">IF(COUNTA(I4:I24)&gt;0,IF(H3&gt;0,H3+1,""),"")</f>
        <v/>
      </c>
      <c r="J3" s="12" t="str">
        <f t="shared" si="0"/>
        <v/>
      </c>
      <c r="K3" s="12" t="str">
        <f t="shared" si="0"/>
        <v/>
      </c>
      <c r="L3" s="12" t="str">
        <f t="shared" si="0"/>
        <v/>
      </c>
      <c r="M3" s="12" t="str">
        <f t="shared" si="0"/>
        <v/>
      </c>
      <c r="N3" s="12" t="str">
        <f t="shared" si="0"/>
        <v/>
      </c>
      <c r="O3" s="12" t="str">
        <f t="shared" si="0"/>
        <v/>
      </c>
      <c r="P3" s="12" t="str">
        <f t="shared" si="0"/>
        <v/>
      </c>
      <c r="Q3" s="12" t="str">
        <f t="shared" si="0"/>
        <v/>
      </c>
      <c r="R3" s="12" t="str">
        <f t="shared" si="0"/>
        <v/>
      </c>
      <c r="S3" s="12" t="str">
        <f t="shared" si="0"/>
        <v/>
      </c>
      <c r="T3" s="12" t="str">
        <f t="shared" si="0"/>
        <v/>
      </c>
      <c r="U3" s="12" t="str">
        <f t="shared" si="0"/>
        <v/>
      </c>
      <c r="V3" s="12" t="str">
        <f t="shared" si="0"/>
        <v/>
      </c>
      <c r="W3" s="12" t="str">
        <f t="shared" si="0"/>
        <v/>
      </c>
      <c r="X3" s="12" t="str">
        <f t="shared" si="0"/>
        <v/>
      </c>
      <c r="Y3" s="12" t="str">
        <f t="shared" si="0"/>
        <v/>
      </c>
      <c r="Z3" s="12" t="str">
        <f t="shared" si="0"/>
        <v/>
      </c>
      <c r="AA3" s="12" t="str">
        <f t="shared" si="0"/>
        <v/>
      </c>
      <c r="AB3" s="12" t="str">
        <f t="shared" si="0"/>
        <v/>
      </c>
      <c r="AC3" s="12" t="str">
        <f t="shared" si="0"/>
        <v/>
      </c>
      <c r="AD3" s="12" t="str">
        <f t="shared" si="0"/>
        <v/>
      </c>
      <c r="AE3" s="12" t="str">
        <f t="shared" si="0"/>
        <v/>
      </c>
      <c r="AF3" s="13" t="str">
        <f t="shared" si="0"/>
        <v/>
      </c>
    </row>
    <row r="4" spans="1:32" s="17" customFormat="1" ht="13.5" customHeight="1">
      <c r="A4" s="178" t="s">
        <v>44</v>
      </c>
      <c r="B4" s="176" t="s">
        <v>21</v>
      </c>
      <c r="C4" s="176"/>
      <c r="D4" s="176"/>
      <c r="E4" s="176"/>
      <c r="F4" s="176"/>
      <c r="G4" s="176"/>
      <c r="H4" s="14"/>
      <c r="I4" s="15"/>
      <c r="J4" s="15"/>
      <c r="K4" s="15"/>
      <c r="L4" s="15"/>
      <c r="M4" s="15"/>
      <c r="N4" s="15"/>
      <c r="O4" s="15"/>
      <c r="P4" s="15"/>
      <c r="Q4" s="15"/>
      <c r="R4" s="15"/>
      <c r="S4" s="15"/>
      <c r="T4" s="15"/>
      <c r="U4" s="15"/>
      <c r="V4" s="15"/>
      <c r="W4" s="15"/>
      <c r="X4" s="15"/>
      <c r="Y4" s="15"/>
      <c r="Z4" s="15"/>
      <c r="AA4" s="15"/>
      <c r="AB4" s="15"/>
      <c r="AC4" s="15"/>
      <c r="AD4" s="15"/>
      <c r="AE4" s="15"/>
      <c r="AF4" s="16"/>
    </row>
    <row r="5" spans="1:32" s="17" customFormat="1" ht="13.5" customHeight="1">
      <c r="A5" s="179"/>
      <c r="B5" s="180" t="s">
        <v>22</v>
      </c>
      <c r="C5" s="181"/>
      <c r="D5" s="181"/>
      <c r="E5" s="181"/>
      <c r="F5" s="181"/>
      <c r="G5" s="181"/>
      <c r="H5" s="18"/>
      <c r="I5" s="19"/>
      <c r="J5" s="19"/>
      <c r="K5" s="19"/>
      <c r="L5" s="19"/>
      <c r="M5" s="19"/>
      <c r="N5" s="19"/>
      <c r="O5" s="19"/>
      <c r="P5" s="19"/>
      <c r="Q5" s="19"/>
      <c r="R5" s="19"/>
      <c r="S5" s="19"/>
      <c r="T5" s="19"/>
      <c r="U5" s="19"/>
      <c r="V5" s="19"/>
      <c r="W5" s="19"/>
      <c r="X5" s="19"/>
      <c r="Y5" s="19"/>
      <c r="Z5" s="19"/>
      <c r="AA5" s="19"/>
      <c r="AB5" s="19"/>
      <c r="AC5" s="19"/>
      <c r="AD5" s="19"/>
      <c r="AE5" s="19"/>
      <c r="AF5" s="20"/>
    </row>
    <row r="6" spans="1:32" s="17" customFormat="1" ht="13.5" customHeight="1">
      <c r="A6" s="179"/>
      <c r="B6" s="21"/>
      <c r="C6" s="182" t="s">
        <v>23</v>
      </c>
      <c r="D6" s="183"/>
      <c r="E6" s="183"/>
      <c r="F6" s="183"/>
      <c r="G6" s="183"/>
      <c r="H6" s="22"/>
      <c r="I6" s="23"/>
      <c r="J6" s="23"/>
      <c r="K6" s="23"/>
      <c r="L6" s="23"/>
      <c r="M6" s="23"/>
      <c r="N6" s="23"/>
      <c r="O6" s="23"/>
      <c r="P6" s="23"/>
      <c r="Q6" s="23"/>
      <c r="R6" s="23"/>
      <c r="S6" s="23"/>
      <c r="T6" s="23"/>
      <c r="U6" s="23"/>
      <c r="V6" s="23"/>
      <c r="W6" s="23"/>
      <c r="X6" s="23"/>
      <c r="Y6" s="23"/>
      <c r="Z6" s="23"/>
      <c r="AA6" s="23"/>
      <c r="AB6" s="23"/>
      <c r="AC6" s="23"/>
      <c r="AD6" s="23"/>
      <c r="AE6" s="23"/>
      <c r="AF6" s="24"/>
    </row>
    <row r="7" spans="1:32" s="17" customFormat="1" ht="13.5" customHeight="1">
      <c r="A7" s="179"/>
      <c r="B7" s="21"/>
      <c r="C7" s="184"/>
      <c r="D7" s="180"/>
      <c r="E7" s="183"/>
      <c r="F7" s="183"/>
      <c r="G7" s="183"/>
      <c r="H7" s="22"/>
      <c r="I7" s="23"/>
      <c r="J7" s="23"/>
      <c r="K7" s="23"/>
      <c r="L7" s="23"/>
      <c r="M7" s="23"/>
      <c r="N7" s="23"/>
      <c r="O7" s="23"/>
      <c r="P7" s="23"/>
      <c r="Q7" s="23"/>
      <c r="R7" s="23"/>
      <c r="S7" s="23"/>
      <c r="T7" s="23"/>
      <c r="U7" s="23"/>
      <c r="V7" s="23"/>
      <c r="W7" s="23"/>
      <c r="X7" s="23"/>
      <c r="Y7" s="23"/>
      <c r="Z7" s="23"/>
      <c r="AA7" s="23"/>
      <c r="AB7" s="23"/>
      <c r="AC7" s="23"/>
      <c r="AD7" s="23"/>
      <c r="AE7" s="23"/>
      <c r="AF7" s="24"/>
    </row>
    <row r="8" spans="1:32" s="17" customFormat="1" ht="13.5" customHeight="1">
      <c r="A8" s="179"/>
      <c r="B8" s="21"/>
      <c r="C8" s="184"/>
      <c r="D8" s="180"/>
      <c r="E8" s="183"/>
      <c r="F8" s="183"/>
      <c r="G8" s="183"/>
      <c r="H8" s="22"/>
      <c r="I8" s="23"/>
      <c r="J8" s="23"/>
      <c r="K8" s="23"/>
      <c r="L8" s="23"/>
      <c r="M8" s="23"/>
      <c r="N8" s="23"/>
      <c r="O8" s="23"/>
      <c r="P8" s="23"/>
      <c r="Q8" s="23"/>
      <c r="R8" s="23"/>
      <c r="S8" s="23"/>
      <c r="T8" s="23"/>
      <c r="U8" s="23"/>
      <c r="V8" s="23"/>
      <c r="W8" s="23"/>
      <c r="X8" s="23"/>
      <c r="Y8" s="23"/>
      <c r="Z8" s="23"/>
      <c r="AA8" s="23"/>
      <c r="AB8" s="23"/>
      <c r="AC8" s="23"/>
      <c r="AD8" s="23"/>
      <c r="AE8" s="23"/>
      <c r="AF8" s="24"/>
    </row>
    <row r="9" spans="1:32" s="17" customFormat="1" ht="13.5" customHeight="1">
      <c r="A9" s="179"/>
      <c r="B9" s="21"/>
      <c r="C9" s="185" t="s">
        <v>24</v>
      </c>
      <c r="D9" s="183"/>
      <c r="E9" s="183"/>
      <c r="F9" s="183"/>
      <c r="G9" s="183"/>
      <c r="H9" s="22"/>
      <c r="I9" s="23"/>
      <c r="J9" s="23"/>
      <c r="K9" s="23"/>
      <c r="L9" s="23"/>
      <c r="M9" s="23"/>
      <c r="N9" s="23"/>
      <c r="O9" s="23"/>
      <c r="P9" s="23"/>
      <c r="Q9" s="23"/>
      <c r="R9" s="23"/>
      <c r="S9" s="23"/>
      <c r="T9" s="23"/>
      <c r="U9" s="23"/>
      <c r="V9" s="23"/>
      <c r="W9" s="23"/>
      <c r="X9" s="23"/>
      <c r="Y9" s="23"/>
      <c r="Z9" s="23"/>
      <c r="AA9" s="23"/>
      <c r="AB9" s="23"/>
      <c r="AC9" s="23"/>
      <c r="AD9" s="23"/>
      <c r="AE9" s="23"/>
      <c r="AF9" s="24"/>
    </row>
    <row r="10" spans="1:32" s="17" customFormat="1" ht="13.5" customHeight="1">
      <c r="A10" s="179"/>
      <c r="B10" s="21"/>
      <c r="C10" s="184"/>
      <c r="D10" s="180"/>
      <c r="E10" s="183"/>
      <c r="F10" s="183"/>
      <c r="G10" s="183"/>
      <c r="H10" s="22"/>
      <c r="I10" s="23"/>
      <c r="J10" s="23"/>
      <c r="K10" s="23"/>
      <c r="L10" s="23"/>
      <c r="M10" s="23"/>
      <c r="N10" s="23"/>
      <c r="O10" s="23"/>
      <c r="P10" s="23"/>
      <c r="Q10" s="23"/>
      <c r="R10" s="23"/>
      <c r="S10" s="23"/>
      <c r="T10" s="23"/>
      <c r="U10" s="23"/>
      <c r="V10" s="23"/>
      <c r="W10" s="23"/>
      <c r="X10" s="23"/>
      <c r="Y10" s="23"/>
      <c r="Z10" s="23"/>
      <c r="AA10" s="23"/>
      <c r="AB10" s="23"/>
      <c r="AC10" s="23"/>
      <c r="AD10" s="23"/>
      <c r="AE10" s="23"/>
      <c r="AF10" s="24"/>
    </row>
    <row r="11" spans="1:32" s="17" customFormat="1" ht="13.5" customHeight="1">
      <c r="A11" s="179"/>
      <c r="B11" s="21"/>
      <c r="C11" s="184"/>
      <c r="D11" s="180"/>
      <c r="E11" s="183"/>
      <c r="F11" s="183"/>
      <c r="G11" s="183"/>
      <c r="H11" s="22"/>
      <c r="I11" s="23"/>
      <c r="J11" s="23"/>
      <c r="K11" s="23"/>
      <c r="L11" s="23"/>
      <c r="M11" s="23"/>
      <c r="N11" s="23"/>
      <c r="O11" s="23"/>
      <c r="P11" s="23"/>
      <c r="Q11" s="23"/>
      <c r="R11" s="23"/>
      <c r="S11" s="23"/>
      <c r="T11" s="23"/>
      <c r="U11" s="23"/>
      <c r="V11" s="23"/>
      <c r="W11" s="23"/>
      <c r="X11" s="23"/>
      <c r="Y11" s="23"/>
      <c r="Z11" s="23"/>
      <c r="AA11" s="23"/>
      <c r="AB11" s="23"/>
      <c r="AC11" s="23"/>
      <c r="AD11" s="23"/>
      <c r="AE11" s="23"/>
      <c r="AF11" s="24"/>
    </row>
    <row r="12" spans="1:32" s="17" customFormat="1" ht="13.5" customHeight="1">
      <c r="A12" s="179"/>
      <c r="B12" s="21"/>
      <c r="C12" s="180"/>
      <c r="D12" s="183"/>
      <c r="E12" s="183"/>
      <c r="F12" s="183"/>
      <c r="G12" s="183"/>
      <c r="H12" s="22"/>
      <c r="I12" s="23"/>
      <c r="J12" s="23"/>
      <c r="K12" s="62"/>
      <c r="L12" s="23"/>
      <c r="M12" s="23"/>
      <c r="N12" s="23"/>
      <c r="O12" s="23"/>
      <c r="P12" s="23"/>
      <c r="Q12" s="23"/>
      <c r="R12" s="23"/>
      <c r="S12" s="23"/>
      <c r="T12" s="23"/>
      <c r="U12" s="23"/>
      <c r="V12" s="23"/>
      <c r="W12" s="23"/>
      <c r="X12" s="23"/>
      <c r="Y12" s="23"/>
      <c r="Z12" s="23"/>
      <c r="AA12" s="23"/>
      <c r="AB12" s="23"/>
      <c r="AC12" s="23"/>
      <c r="AD12" s="23"/>
      <c r="AE12" s="23"/>
      <c r="AF12" s="24"/>
    </row>
    <row r="13" spans="1:32" s="17" customFormat="1" ht="13.5" customHeight="1">
      <c r="A13" s="179"/>
      <c r="B13" s="21"/>
      <c r="C13" s="184"/>
      <c r="D13" s="180"/>
      <c r="E13" s="183"/>
      <c r="F13" s="183"/>
      <c r="G13" s="183"/>
      <c r="H13" s="22"/>
      <c r="I13" s="23"/>
      <c r="J13" s="23"/>
      <c r="K13" s="62"/>
      <c r="L13" s="23"/>
      <c r="M13" s="23"/>
      <c r="N13" s="23"/>
      <c r="O13" s="23"/>
      <c r="P13" s="23"/>
      <c r="Q13" s="23"/>
      <c r="R13" s="23"/>
      <c r="S13" s="23"/>
      <c r="T13" s="23"/>
      <c r="U13" s="23"/>
      <c r="V13" s="23"/>
      <c r="W13" s="23"/>
      <c r="X13" s="23"/>
      <c r="Y13" s="23"/>
      <c r="Z13" s="23"/>
      <c r="AA13" s="23"/>
      <c r="AB13" s="23"/>
      <c r="AC13" s="23"/>
      <c r="AD13" s="23"/>
      <c r="AE13" s="23"/>
      <c r="AF13" s="24"/>
    </row>
    <row r="14" spans="1:32" s="17" customFormat="1" ht="13.5" customHeight="1" thickBot="1">
      <c r="A14" s="179"/>
      <c r="B14" s="21"/>
      <c r="C14" s="184"/>
      <c r="D14" s="180"/>
      <c r="E14" s="183"/>
      <c r="F14" s="183"/>
      <c r="G14" s="183"/>
      <c r="H14" s="22"/>
      <c r="I14" s="23"/>
      <c r="J14" s="23"/>
      <c r="K14" s="62"/>
      <c r="L14" s="23"/>
      <c r="M14" s="23"/>
      <c r="N14" s="23"/>
      <c r="O14" s="23"/>
      <c r="P14" s="23"/>
      <c r="Q14" s="23"/>
      <c r="R14" s="23"/>
      <c r="S14" s="23"/>
      <c r="T14" s="23"/>
      <c r="U14" s="23"/>
      <c r="V14" s="23"/>
      <c r="W14" s="23"/>
      <c r="X14" s="23"/>
      <c r="Y14" s="23"/>
      <c r="Z14" s="23"/>
      <c r="AA14" s="23"/>
      <c r="AB14" s="23"/>
      <c r="AC14" s="23"/>
      <c r="AD14" s="23"/>
      <c r="AE14" s="23"/>
      <c r="AF14" s="24"/>
    </row>
    <row r="15" spans="1:32" s="17" customFormat="1" ht="13.5" customHeight="1">
      <c r="A15" s="172" t="s">
        <v>45</v>
      </c>
      <c r="B15" s="175" t="s">
        <v>25</v>
      </c>
      <c r="C15" s="176"/>
      <c r="D15" s="176"/>
      <c r="E15" s="176"/>
      <c r="F15" s="176"/>
      <c r="G15" s="176"/>
      <c r="H15" s="25"/>
      <c r="I15" s="26"/>
      <c r="J15" s="26"/>
      <c r="K15" s="67"/>
      <c r="L15" s="26"/>
      <c r="M15" s="26"/>
      <c r="N15" s="26"/>
      <c r="O15" s="26"/>
      <c r="P15" s="26"/>
      <c r="Q15" s="26"/>
      <c r="R15" s="26"/>
      <c r="S15" s="26"/>
      <c r="T15" s="26"/>
      <c r="U15" s="26"/>
      <c r="V15" s="26"/>
      <c r="W15" s="26"/>
      <c r="X15" s="26"/>
      <c r="Y15" s="26"/>
      <c r="Z15" s="26"/>
      <c r="AA15" s="26"/>
      <c r="AB15" s="26"/>
      <c r="AC15" s="26"/>
      <c r="AD15" s="26"/>
      <c r="AE15" s="26"/>
      <c r="AF15" s="27"/>
    </row>
    <row r="16" spans="1:32" s="17" customFormat="1" ht="13.5" customHeight="1">
      <c r="A16" s="173"/>
      <c r="B16" s="28"/>
      <c r="C16" s="162" t="s">
        <v>26</v>
      </c>
      <c r="D16" s="163"/>
      <c r="E16" s="163"/>
      <c r="F16" s="163"/>
      <c r="G16" s="163"/>
      <c r="H16" s="22"/>
      <c r="I16" s="23"/>
      <c r="J16" s="23"/>
      <c r="K16" s="62"/>
      <c r="L16" s="23"/>
      <c r="M16" s="23"/>
      <c r="N16" s="23"/>
      <c r="O16" s="23"/>
      <c r="P16" s="23"/>
      <c r="Q16" s="23"/>
      <c r="R16" s="23"/>
      <c r="S16" s="23"/>
      <c r="T16" s="23"/>
      <c r="U16" s="23"/>
      <c r="V16" s="23"/>
      <c r="W16" s="23"/>
      <c r="X16" s="23"/>
      <c r="Y16" s="23"/>
      <c r="Z16" s="23"/>
      <c r="AA16" s="23"/>
      <c r="AB16" s="23"/>
      <c r="AC16" s="23"/>
      <c r="AD16" s="23"/>
      <c r="AE16" s="23"/>
      <c r="AF16" s="24"/>
    </row>
    <row r="17" spans="1:32" s="17" customFormat="1" ht="13.5" customHeight="1">
      <c r="A17" s="173"/>
      <c r="B17" s="177"/>
      <c r="C17" s="162" t="s">
        <v>27</v>
      </c>
      <c r="D17" s="163"/>
      <c r="E17" s="163"/>
      <c r="F17" s="163"/>
      <c r="G17" s="163"/>
      <c r="H17" s="22"/>
      <c r="I17" s="23"/>
      <c r="J17" s="23"/>
      <c r="K17" s="62"/>
      <c r="L17" s="23"/>
      <c r="M17" s="23"/>
      <c r="N17" s="23"/>
      <c r="O17" s="23"/>
      <c r="P17" s="23"/>
      <c r="Q17" s="23"/>
      <c r="R17" s="23"/>
      <c r="S17" s="23"/>
      <c r="T17" s="23"/>
      <c r="U17" s="23"/>
      <c r="V17" s="23"/>
      <c r="W17" s="23"/>
      <c r="X17" s="23"/>
      <c r="Y17" s="23"/>
      <c r="Z17" s="23"/>
      <c r="AA17" s="23"/>
      <c r="AB17" s="23"/>
      <c r="AC17" s="23"/>
      <c r="AD17" s="23"/>
      <c r="AE17" s="23"/>
      <c r="AF17" s="24"/>
    </row>
    <row r="18" spans="1:32" s="17" customFormat="1" ht="13.5" customHeight="1">
      <c r="A18" s="173"/>
      <c r="B18" s="177"/>
      <c r="C18" s="162" t="s">
        <v>28</v>
      </c>
      <c r="D18" s="163"/>
      <c r="E18" s="163"/>
      <c r="F18" s="163"/>
      <c r="G18" s="163"/>
      <c r="H18" s="22"/>
      <c r="I18" s="23"/>
      <c r="J18" s="23"/>
      <c r="K18" s="62"/>
      <c r="L18" s="23"/>
      <c r="M18" s="23"/>
      <c r="N18" s="23"/>
      <c r="O18" s="23"/>
      <c r="P18" s="23"/>
      <c r="Q18" s="23"/>
      <c r="R18" s="23"/>
      <c r="S18" s="23"/>
      <c r="T18" s="23"/>
      <c r="U18" s="23"/>
      <c r="V18" s="23"/>
      <c r="W18" s="23"/>
      <c r="X18" s="23"/>
      <c r="Y18" s="23"/>
      <c r="Z18" s="23"/>
      <c r="AA18" s="23"/>
      <c r="AB18" s="23"/>
      <c r="AC18" s="23"/>
      <c r="AD18" s="23"/>
      <c r="AE18" s="23"/>
      <c r="AF18" s="24"/>
    </row>
    <row r="19" spans="1:32" s="17" customFormat="1" ht="13.5" customHeight="1">
      <c r="A19" s="173"/>
      <c r="B19" s="177"/>
      <c r="C19" s="162" t="s">
        <v>29</v>
      </c>
      <c r="D19" s="163"/>
      <c r="E19" s="163"/>
      <c r="F19" s="163"/>
      <c r="G19" s="163"/>
      <c r="H19" s="22"/>
      <c r="I19" s="23"/>
      <c r="J19" s="23"/>
      <c r="K19" s="62"/>
      <c r="L19" s="23"/>
      <c r="M19" s="23"/>
      <c r="N19" s="23"/>
      <c r="O19" s="23"/>
      <c r="P19" s="23"/>
      <c r="Q19" s="23"/>
      <c r="R19" s="23"/>
      <c r="S19" s="23"/>
      <c r="T19" s="23"/>
      <c r="U19" s="23"/>
      <c r="V19" s="23"/>
      <c r="W19" s="23"/>
      <c r="X19" s="23"/>
      <c r="Y19" s="23"/>
      <c r="Z19" s="23"/>
      <c r="AA19" s="23"/>
      <c r="AB19" s="23"/>
      <c r="AC19" s="23"/>
      <c r="AD19" s="23"/>
      <c r="AE19" s="23"/>
      <c r="AF19" s="24"/>
    </row>
    <row r="20" spans="1:32" s="17" customFormat="1" ht="13.5" customHeight="1">
      <c r="A20" s="173"/>
      <c r="B20" s="177"/>
      <c r="C20" s="162"/>
      <c r="D20" s="163"/>
      <c r="E20" s="163"/>
      <c r="F20" s="163"/>
      <c r="G20" s="163"/>
      <c r="H20" s="29"/>
      <c r="I20" s="30"/>
      <c r="J20" s="30"/>
      <c r="K20" s="68"/>
      <c r="L20" s="30"/>
      <c r="M20" s="30"/>
      <c r="N20" s="30"/>
      <c r="O20" s="30"/>
      <c r="P20" s="30"/>
      <c r="Q20" s="30"/>
      <c r="R20" s="30"/>
      <c r="S20" s="30"/>
      <c r="T20" s="30"/>
      <c r="U20" s="30"/>
      <c r="V20" s="30"/>
      <c r="W20" s="30"/>
      <c r="X20" s="30"/>
      <c r="Y20" s="30"/>
      <c r="Z20" s="30"/>
      <c r="AA20" s="30"/>
      <c r="AB20" s="30"/>
      <c r="AC20" s="30"/>
      <c r="AD20" s="30"/>
      <c r="AE20" s="30"/>
      <c r="AF20" s="31"/>
    </row>
    <row r="21" spans="1:32" s="17" customFormat="1" ht="13.5" customHeight="1">
      <c r="A21" s="173"/>
      <c r="B21" s="177"/>
      <c r="C21" s="162"/>
      <c r="D21" s="163"/>
      <c r="E21" s="163"/>
      <c r="F21" s="163"/>
      <c r="G21" s="163"/>
      <c r="H21" s="29"/>
      <c r="I21" s="30"/>
      <c r="J21" s="30"/>
      <c r="K21" s="68"/>
      <c r="L21" s="30"/>
      <c r="M21" s="30"/>
      <c r="N21" s="30"/>
      <c r="O21" s="30"/>
      <c r="P21" s="30"/>
      <c r="Q21" s="30"/>
      <c r="R21" s="30"/>
      <c r="S21" s="30"/>
      <c r="T21" s="30"/>
      <c r="U21" s="30"/>
      <c r="V21" s="30"/>
      <c r="W21" s="30"/>
      <c r="X21" s="30"/>
      <c r="Y21" s="30"/>
      <c r="Z21" s="30"/>
      <c r="AA21" s="30"/>
      <c r="AB21" s="30"/>
      <c r="AC21" s="30"/>
      <c r="AD21" s="30"/>
      <c r="AE21" s="30"/>
      <c r="AF21" s="31"/>
    </row>
    <row r="22" spans="1:32" s="17" customFormat="1" ht="13.5" customHeight="1">
      <c r="A22" s="173"/>
      <c r="B22" s="177"/>
      <c r="C22" s="162"/>
      <c r="D22" s="163"/>
      <c r="E22" s="163"/>
      <c r="F22" s="163"/>
      <c r="G22" s="163"/>
      <c r="H22" s="29"/>
      <c r="I22" s="30"/>
      <c r="J22" s="30"/>
      <c r="K22" s="68"/>
      <c r="L22" s="30"/>
      <c r="M22" s="30"/>
      <c r="N22" s="30"/>
      <c r="O22" s="30"/>
      <c r="P22" s="30"/>
      <c r="Q22" s="30"/>
      <c r="R22" s="30"/>
      <c r="S22" s="30"/>
      <c r="T22" s="30"/>
      <c r="U22" s="30"/>
      <c r="V22" s="30"/>
      <c r="W22" s="30"/>
      <c r="X22" s="30"/>
      <c r="Y22" s="30"/>
      <c r="Z22" s="30"/>
      <c r="AA22" s="30"/>
      <c r="AB22" s="30"/>
      <c r="AC22" s="30"/>
      <c r="AD22" s="30"/>
      <c r="AE22" s="30"/>
      <c r="AF22" s="31"/>
    </row>
    <row r="23" spans="1:32" s="17" customFormat="1" ht="15" customHeight="1" thickBot="1">
      <c r="A23" s="174"/>
      <c r="B23" s="177"/>
      <c r="C23" s="160"/>
      <c r="D23" s="161"/>
      <c r="E23" s="161"/>
      <c r="F23" s="161"/>
      <c r="G23" s="161"/>
      <c r="H23" s="32"/>
      <c r="I23" s="33"/>
      <c r="J23" s="33"/>
      <c r="K23" s="70"/>
      <c r="L23" s="33"/>
      <c r="M23" s="33"/>
      <c r="N23" s="33"/>
      <c r="O23" s="33"/>
      <c r="P23" s="33"/>
      <c r="Q23" s="33"/>
      <c r="R23" s="33"/>
      <c r="S23" s="33"/>
      <c r="T23" s="33"/>
      <c r="U23" s="33"/>
      <c r="V23" s="33"/>
      <c r="W23" s="33"/>
      <c r="X23" s="33"/>
      <c r="Y23" s="33"/>
      <c r="Z23" s="33"/>
      <c r="AA23" s="33"/>
      <c r="AB23" s="33"/>
      <c r="AC23" s="33"/>
      <c r="AD23" s="33"/>
      <c r="AE23" s="33"/>
      <c r="AF23" s="34"/>
    </row>
    <row r="24" spans="1:32" s="17" customFormat="1" ht="24" customHeight="1">
      <c r="A24" s="164" t="s">
        <v>46</v>
      </c>
      <c r="B24" s="166"/>
      <c r="C24" s="167"/>
      <c r="D24" s="167"/>
      <c r="E24" s="167"/>
      <c r="F24" s="168"/>
      <c r="G24" s="35" t="s">
        <v>36</v>
      </c>
      <c r="H24" s="36"/>
      <c r="I24" s="37"/>
      <c r="J24" s="37"/>
      <c r="K24" s="37"/>
      <c r="L24" s="37"/>
      <c r="M24" s="37"/>
      <c r="N24" s="37"/>
      <c r="O24" s="37"/>
      <c r="P24" s="37"/>
      <c r="Q24" s="37"/>
      <c r="R24" s="37"/>
      <c r="S24" s="37"/>
      <c r="T24" s="37"/>
      <c r="U24" s="37"/>
      <c r="V24" s="37"/>
      <c r="W24" s="37"/>
      <c r="X24" s="37"/>
      <c r="Y24" s="37"/>
      <c r="Z24" s="37"/>
      <c r="AA24" s="37"/>
      <c r="AB24" s="37"/>
      <c r="AC24" s="37"/>
      <c r="AD24" s="37"/>
      <c r="AE24" s="37"/>
      <c r="AF24" s="38"/>
    </row>
    <row r="25" spans="1:32" s="17" customFormat="1" ht="27" customHeight="1">
      <c r="A25" s="165"/>
      <c r="B25" s="169"/>
      <c r="C25" s="170"/>
      <c r="D25" s="170"/>
      <c r="E25" s="170"/>
      <c r="F25" s="171"/>
      <c r="G25" s="39" t="s">
        <v>37</v>
      </c>
      <c r="H25" s="40"/>
      <c r="I25" s="41"/>
      <c r="J25" s="41"/>
      <c r="K25" s="41"/>
      <c r="L25" s="41"/>
      <c r="M25" s="41"/>
      <c r="N25" s="41"/>
      <c r="O25" s="41"/>
      <c r="P25" s="41"/>
      <c r="Q25" s="41"/>
      <c r="R25" s="41"/>
      <c r="S25" s="41"/>
      <c r="T25" s="41"/>
      <c r="U25" s="41"/>
      <c r="V25" s="41"/>
      <c r="W25" s="41"/>
      <c r="X25" s="41"/>
      <c r="Y25" s="41"/>
      <c r="Z25" s="41"/>
      <c r="AA25" s="41"/>
      <c r="AB25" s="41"/>
      <c r="AC25" s="41"/>
      <c r="AD25" s="41"/>
      <c r="AE25" s="41"/>
      <c r="AF25" s="42"/>
    </row>
    <row r="26" spans="1:32" s="17" customFormat="1" ht="27" customHeight="1">
      <c r="A26" s="165"/>
      <c r="B26" s="169"/>
      <c r="C26" s="170"/>
      <c r="D26" s="170"/>
      <c r="E26" s="170"/>
      <c r="F26" s="171"/>
      <c r="G26" s="39" t="s">
        <v>38</v>
      </c>
      <c r="H26" s="43"/>
      <c r="I26" s="44"/>
      <c r="J26" s="44"/>
      <c r="K26" s="44"/>
      <c r="L26" s="44"/>
      <c r="M26" s="44"/>
      <c r="N26" s="44"/>
      <c r="O26" s="44"/>
      <c r="P26" s="44"/>
      <c r="Q26" s="44"/>
      <c r="R26" s="44"/>
      <c r="S26" s="44"/>
      <c r="T26" s="44"/>
      <c r="U26" s="44"/>
      <c r="V26" s="44"/>
      <c r="W26" s="44"/>
      <c r="X26" s="44"/>
      <c r="Y26" s="44"/>
      <c r="Z26" s="44"/>
      <c r="AA26" s="44"/>
      <c r="AB26" s="44"/>
      <c r="AC26" s="44"/>
      <c r="AD26" s="44"/>
      <c r="AE26" s="44"/>
      <c r="AF26" s="45"/>
    </row>
    <row r="27" spans="1:32" s="17" customFormat="1" ht="24.75" customHeight="1">
      <c r="A27" s="165"/>
      <c r="B27" s="169"/>
      <c r="C27" s="170"/>
      <c r="D27" s="170"/>
      <c r="E27" s="170"/>
      <c r="F27" s="171"/>
      <c r="G27" s="46" t="s">
        <v>39</v>
      </c>
      <c r="H27" s="40"/>
      <c r="I27" s="41"/>
      <c r="J27" s="41"/>
      <c r="K27" s="41"/>
      <c r="L27" s="41"/>
      <c r="M27" s="41"/>
      <c r="N27" s="69"/>
      <c r="O27" s="41"/>
      <c r="P27" s="41"/>
      <c r="Q27" s="41"/>
      <c r="R27" s="41"/>
      <c r="S27" s="41"/>
      <c r="T27" s="41"/>
      <c r="U27" s="41"/>
      <c r="V27" s="41"/>
      <c r="W27" s="41"/>
      <c r="X27" s="41"/>
      <c r="Y27" s="41"/>
      <c r="Z27" s="41"/>
      <c r="AA27" s="41"/>
      <c r="AB27" s="41"/>
      <c r="AC27" s="41"/>
      <c r="AD27" s="41"/>
      <c r="AE27" s="41"/>
      <c r="AF27" s="42"/>
    </row>
    <row r="28" spans="1:32" s="17" customFormat="1" ht="24.75" customHeight="1">
      <c r="A28" s="204" t="s">
        <v>47</v>
      </c>
      <c r="B28" s="206" t="s">
        <v>40</v>
      </c>
      <c r="C28" s="206"/>
      <c r="D28" s="206"/>
      <c r="E28" s="206"/>
      <c r="F28" s="207" t="e">
        <f ca="1">GetBugSheetName()</f>
        <v>#NAME?</v>
      </c>
      <c r="G28" s="208"/>
      <c r="H28" s="60"/>
      <c r="I28" s="53"/>
      <c r="J28" s="53"/>
      <c r="K28" s="53"/>
      <c r="L28" s="53"/>
      <c r="M28" s="53"/>
      <c r="N28" s="53"/>
      <c r="O28" s="53"/>
      <c r="P28" s="53"/>
      <c r="Q28" s="53"/>
      <c r="R28" s="53"/>
      <c r="S28" s="53"/>
      <c r="T28" s="53"/>
      <c r="U28" s="53"/>
      <c r="V28" s="53"/>
      <c r="W28" s="53"/>
      <c r="X28" s="53"/>
      <c r="Y28" s="53"/>
      <c r="Z28" s="53"/>
      <c r="AA28" s="53"/>
      <c r="AB28" s="53"/>
      <c r="AC28" s="53"/>
      <c r="AD28" s="53"/>
      <c r="AE28" s="53"/>
      <c r="AF28" s="54"/>
    </row>
    <row r="29" spans="1:32" s="17" customFormat="1" ht="36" customHeight="1" thickBot="1">
      <c r="A29" s="205"/>
      <c r="B29" s="192" t="s">
        <v>30</v>
      </c>
      <c r="C29" s="193"/>
      <c r="D29" s="193"/>
      <c r="E29" s="194"/>
      <c r="F29" s="192"/>
      <c r="G29" s="209"/>
      <c r="H29" s="61"/>
      <c r="I29" s="55"/>
      <c r="J29" s="55"/>
      <c r="K29" s="55"/>
      <c r="L29" s="55"/>
      <c r="M29" s="55"/>
      <c r="N29" s="55"/>
      <c r="O29" s="55"/>
      <c r="P29" s="55"/>
      <c r="Q29" s="55"/>
      <c r="R29" s="55"/>
      <c r="S29" s="55" t="str">
        <f t="shared" ref="S29:AF29" si="1">IF(S28="","",(SUM(LEN(S28)-LEN(SUBSTITUTE(S28,",","")))/LEN(",")) + 1 )</f>
        <v/>
      </c>
      <c r="T29" s="55" t="str">
        <f t="shared" si="1"/>
        <v/>
      </c>
      <c r="U29" s="55" t="str">
        <f t="shared" si="1"/>
        <v/>
      </c>
      <c r="V29" s="55" t="str">
        <f t="shared" si="1"/>
        <v/>
      </c>
      <c r="W29" s="55" t="str">
        <f t="shared" si="1"/>
        <v/>
      </c>
      <c r="X29" s="55" t="str">
        <f t="shared" si="1"/>
        <v/>
      </c>
      <c r="Y29" s="55" t="str">
        <f t="shared" si="1"/>
        <v/>
      </c>
      <c r="Z29" s="55" t="str">
        <f t="shared" si="1"/>
        <v/>
      </c>
      <c r="AA29" s="55" t="str">
        <f t="shared" si="1"/>
        <v/>
      </c>
      <c r="AB29" s="55" t="str">
        <f t="shared" si="1"/>
        <v/>
      </c>
      <c r="AC29" s="55" t="str">
        <f t="shared" si="1"/>
        <v/>
      </c>
      <c r="AD29" s="55" t="str">
        <f t="shared" si="1"/>
        <v/>
      </c>
      <c r="AE29" s="55" t="str">
        <f t="shared" si="1"/>
        <v/>
      </c>
      <c r="AF29" s="56" t="str">
        <f t="shared" si="1"/>
        <v/>
      </c>
    </row>
    <row r="30" spans="1:32" s="17" customFormat="1">
      <c r="H30" s="47"/>
      <c r="I30" s="47"/>
      <c r="J30" s="47"/>
      <c r="K30" s="47"/>
      <c r="L30" s="47"/>
      <c r="M30" s="47"/>
      <c r="N30" s="48"/>
      <c r="O30" s="49"/>
      <c r="P30" s="47"/>
      <c r="Q30" s="47"/>
      <c r="R30" s="47"/>
      <c r="S30" s="47"/>
      <c r="T30" s="47"/>
      <c r="U30" s="47"/>
      <c r="V30" s="47"/>
    </row>
  </sheetData>
  <sheetProtection insertRows="0"/>
  <protectedRanges>
    <protectedRange sqref="B4:G23" name="Range2_1"/>
    <protectedRange sqref="B1:O2 P2 T1 AC1:AF2" name="Range1_1"/>
    <protectedRange sqref="H24:AF28" name="Range3_1_1"/>
    <protectedRange sqref="H4:AF23" name="Range2_1_1"/>
  </protectedRanges>
  <mergeCells count="48">
    <mergeCell ref="A28:A29"/>
    <mergeCell ref="B28:E28"/>
    <mergeCell ref="F28:G28"/>
    <mergeCell ref="B29:E29"/>
    <mergeCell ref="F29:G29"/>
    <mergeCell ref="AA1:AB1"/>
    <mergeCell ref="AC1:AF1"/>
    <mergeCell ref="F2:H2"/>
    <mergeCell ref="AA2:AB2"/>
    <mergeCell ref="AC2:AF2"/>
    <mergeCell ref="B1:E1"/>
    <mergeCell ref="F1:O1"/>
    <mergeCell ref="B2:E2"/>
    <mergeCell ref="I2:O2"/>
    <mergeCell ref="P2:Z2"/>
    <mergeCell ref="P1:S1"/>
    <mergeCell ref="T1:Z1"/>
    <mergeCell ref="A4:A14"/>
    <mergeCell ref="B4:G4"/>
    <mergeCell ref="B5:G5"/>
    <mergeCell ref="C6:G6"/>
    <mergeCell ref="C7:C8"/>
    <mergeCell ref="D7:G7"/>
    <mergeCell ref="D8:G8"/>
    <mergeCell ref="C12:G12"/>
    <mergeCell ref="C13:C14"/>
    <mergeCell ref="D13:G13"/>
    <mergeCell ref="C9:G9"/>
    <mergeCell ref="C10:C11"/>
    <mergeCell ref="D10:G10"/>
    <mergeCell ref="D11:G11"/>
    <mergeCell ref="D14:G14"/>
    <mergeCell ref="C23:G23"/>
    <mergeCell ref="C21:G21"/>
    <mergeCell ref="A24:A27"/>
    <mergeCell ref="B24:F24"/>
    <mergeCell ref="B25:F25"/>
    <mergeCell ref="B26:F26"/>
    <mergeCell ref="B27:F27"/>
    <mergeCell ref="A15:A23"/>
    <mergeCell ref="B15:G15"/>
    <mergeCell ref="C16:G16"/>
    <mergeCell ref="B17:B23"/>
    <mergeCell ref="C17:G17"/>
    <mergeCell ref="C18:G18"/>
    <mergeCell ref="C19:G19"/>
    <mergeCell ref="C20:G20"/>
    <mergeCell ref="C22:G22"/>
  </mergeCells>
  <phoneticPr fontId="3"/>
  <conditionalFormatting sqref="H3:AF29">
    <cfRule type="expression" dxfId="40" priority="1" stopIfTrue="1">
      <formula>H$27="NA"</formula>
    </cfRule>
    <cfRule type="expression" dxfId="39" priority="2" stopIfTrue="1">
      <formula>H$27="NG"</formula>
    </cfRule>
  </conditionalFormatting>
  <dataValidations count="10">
    <dataValidation type="list" allowBlank="1" showInputMessage="1" showErrorMessage="1" sqref="H24:AF24">
      <formula1>"N, A, B"</formula1>
    </dataValidation>
    <dataValidation type="list" allowBlank="1" showInputMessage="1" showErrorMessage="1" sqref="H27:AF27">
      <formula1>"OK, NG, NA, PT"</formula1>
    </dataValidation>
    <dataValidation allowBlank="1" showInputMessage="1" showErrorMessage="1" promptTitle="Input conditions" prompt="that need to be checked." sqref="A4:A14"/>
    <dataValidation allowBlank="1" showInputMessage="1" showErrorMessage="1" promptTitle="Check points" prompt="that need / need not be executed" sqref="A15:A23"/>
    <dataValidation allowBlank="1" showInputMessage="1" showErrorMessage="1" promptTitle="PCL sheet name" prompt=" " sqref="F28:G28"/>
    <dataValidation allowBlank="1" showInputMessage="1" showErrorMessage="1" promptTitle="Bug ID" prompt="Unique ID throughout the project._x000a_For every Bug found during Test as well as Re-Test, a new Bug ID needs to be entered here (as a comma seperated value)" sqref="B28:E28"/>
    <dataValidation allowBlank="1" showInputMessage="1" showErrorMessage="1" promptTitle="Test Result" prompt="OK : Result is OK      _x000a_NG : Result is not as expected_x000a_NA : Not Applicable      _x000a_PT : Testing Pending (as Data not available/ cannot be generated currently)" sqref="G27"/>
    <dataValidation allowBlank="1" showInputMessage="1" showErrorMessage="1" promptTitle="Testing Date" prompt="Date on which test was performed in yyyy/mm/dd format" sqref="G26"/>
    <dataValidation allowBlank="1" showInputMessage="1" showErrorMessage="1" promptTitle="Enter" prompt="Name of the person who performed the test" sqref="G25"/>
    <dataValidation allowBlank="1" showInputMessage="1" showErrorMessage="1" promptTitle="Condition Type" prompt="N : Normal _x000a_A : Abnormal _x000a_B : Boundary" sqref="G24"/>
  </dataValidations>
  <printOptions horizontalCentered="1"/>
  <pageMargins left="0.55118110236220474" right="0.46" top="0.98425196850393704" bottom="0.98425196850393704" header="0.51181102362204722" footer="0.51181102362204722"/>
  <pageSetup paperSize="9" scale="66" orientation="portrait" r:id="rId1"/>
  <headerFooter alignWithMargins="0">
    <oddHeader>&amp;LUKS-FMT-GBL-211-02.03&amp;C&amp;F:&amp;A&amp;R&amp;"Arial,Regular"&amp;10UKS-REC-XXX-XXX</oddHeader>
    <oddFooter>&amp;L&amp;"Arial,Regular"&amp;10Unikaihatsu Software Pvt.Ltd.&amp;C&amp;10This document is uncontrolled after printed.&amp;R&amp;"Arial,Regular"&amp;10Page &amp;P of &amp;N</oddFooter>
  </headerFooter>
  <drawing r:id="rId2"/>
  <legacyDrawing r:id="rId3"/>
</worksheet>
</file>

<file path=xl/worksheets/sheet4.xml><?xml version="1.0" encoding="utf-8"?>
<worksheet xmlns="http://schemas.openxmlformats.org/spreadsheetml/2006/main" xmlns:r="http://schemas.openxmlformats.org/officeDocument/2006/relationships">
  <sheetPr codeName="Sheet7"/>
  <dimension ref="A1:AF57"/>
  <sheetViews>
    <sheetView view="pageBreakPreview" zoomScale="85" zoomScaleNormal="70" zoomScaleSheetLayoutView="85" workbookViewId="0">
      <pane xSplit="7" ySplit="3" topLeftCell="H31" activePane="bottomRight" state="frozen"/>
      <selection activeCell="A5" sqref="A5"/>
      <selection pane="topRight" activeCell="A5" sqref="A5"/>
      <selection pane="bottomLeft" activeCell="A5" sqref="A5"/>
      <selection pane="bottomRight" activeCell="N29" sqref="N29"/>
    </sheetView>
  </sheetViews>
  <sheetFormatPr defaultColWidth="3.625" defaultRowHeight="12"/>
  <cols>
    <col min="1" max="1" width="9.75" style="9" customWidth="1"/>
    <col min="2" max="3" width="2.625" style="9" customWidth="1"/>
    <col min="4" max="5" width="2.625" style="50" customWidth="1"/>
    <col min="6" max="7" width="15.625" style="50" customWidth="1"/>
    <col min="8" max="22" width="3.625" style="51" customWidth="1"/>
    <col min="23" max="16384" width="3.625" style="1"/>
  </cols>
  <sheetData>
    <row r="1" spans="1:32" ht="20.100000000000001" customHeight="1">
      <c r="A1" s="63" t="s">
        <v>60</v>
      </c>
      <c r="B1" s="186" t="s">
        <v>172</v>
      </c>
      <c r="C1" s="187"/>
      <c r="D1" s="187"/>
      <c r="E1" s="188"/>
      <c r="F1" s="186" t="s">
        <v>192</v>
      </c>
      <c r="G1" s="187"/>
      <c r="H1" s="187"/>
      <c r="I1" s="187"/>
      <c r="J1" s="187"/>
      <c r="K1" s="187"/>
      <c r="L1" s="187"/>
      <c r="M1" s="187"/>
      <c r="N1" s="187"/>
      <c r="O1" s="188"/>
      <c r="P1" s="195" t="s">
        <v>61</v>
      </c>
      <c r="Q1" s="196"/>
      <c r="R1" s="196"/>
      <c r="S1" s="197"/>
      <c r="T1" s="186" t="s">
        <v>174</v>
      </c>
      <c r="U1" s="187"/>
      <c r="V1" s="187"/>
      <c r="W1" s="187"/>
      <c r="X1" s="187"/>
      <c r="Y1" s="187"/>
      <c r="Z1" s="188"/>
      <c r="AA1" s="198" t="s">
        <v>62</v>
      </c>
      <c r="AB1" s="198"/>
      <c r="AC1" s="199">
        <v>43703</v>
      </c>
      <c r="AD1" s="199"/>
      <c r="AE1" s="199"/>
      <c r="AF1" s="200"/>
    </row>
    <row r="2" spans="1:32" ht="20.100000000000001" customHeight="1" thickBot="1">
      <c r="A2" s="64" t="s">
        <v>63</v>
      </c>
      <c r="B2" s="189" t="s">
        <v>168</v>
      </c>
      <c r="C2" s="190"/>
      <c r="D2" s="190"/>
      <c r="E2" s="191"/>
      <c r="F2" s="189" t="s">
        <v>193</v>
      </c>
      <c r="G2" s="190"/>
      <c r="H2" s="191"/>
      <c r="I2" s="192" t="s">
        <v>110</v>
      </c>
      <c r="J2" s="193"/>
      <c r="K2" s="193"/>
      <c r="L2" s="193"/>
      <c r="M2" s="193"/>
      <c r="N2" s="193"/>
      <c r="O2" s="194"/>
      <c r="P2" s="189"/>
      <c r="Q2" s="190"/>
      <c r="R2" s="190"/>
      <c r="S2" s="190"/>
      <c r="T2" s="190"/>
      <c r="U2" s="190"/>
      <c r="V2" s="190"/>
      <c r="W2" s="190"/>
      <c r="X2" s="190"/>
      <c r="Y2" s="190"/>
      <c r="Z2" s="191"/>
      <c r="AA2" s="201" t="s">
        <v>128</v>
      </c>
      <c r="AB2" s="202"/>
      <c r="AC2" s="189" t="s">
        <v>129</v>
      </c>
      <c r="AD2" s="190"/>
      <c r="AE2" s="190"/>
      <c r="AF2" s="203"/>
    </row>
    <row r="3" spans="1:32" ht="37.5" customHeight="1" thickBot="1">
      <c r="A3" s="66" t="s">
        <v>64</v>
      </c>
      <c r="B3" s="10"/>
      <c r="C3" s="10"/>
      <c r="D3" s="10"/>
      <c r="E3" s="10"/>
      <c r="F3" s="10"/>
      <c r="G3" s="65" t="s">
        <v>65</v>
      </c>
      <c r="H3" s="11">
        <f>IF(COUNTA(H4:H51)&gt;0,1,"")</f>
        <v>1</v>
      </c>
      <c r="I3" s="12">
        <f t="shared" ref="I3:AF3" si="0">IF(COUNTA(I4:I51)&gt;0,IF(H3&gt;0,H3+1,""),"")</f>
        <v>2</v>
      </c>
      <c r="J3" s="12">
        <f t="shared" si="0"/>
        <v>3</v>
      </c>
      <c r="K3" s="12">
        <f t="shared" si="0"/>
        <v>4</v>
      </c>
      <c r="L3" s="12">
        <f t="shared" si="0"/>
        <v>5</v>
      </c>
      <c r="M3" s="12">
        <f t="shared" si="0"/>
        <v>6</v>
      </c>
      <c r="N3" s="12">
        <f t="shared" si="0"/>
        <v>7</v>
      </c>
      <c r="O3" s="12">
        <f t="shared" si="0"/>
        <v>8</v>
      </c>
      <c r="P3" s="12">
        <f t="shared" si="0"/>
        <v>9</v>
      </c>
      <c r="Q3" s="12">
        <f t="shared" si="0"/>
        <v>10</v>
      </c>
      <c r="R3" s="12">
        <f t="shared" si="0"/>
        <v>11</v>
      </c>
      <c r="S3" s="12">
        <f t="shared" si="0"/>
        <v>12</v>
      </c>
      <c r="T3" s="12">
        <f t="shared" si="0"/>
        <v>13</v>
      </c>
      <c r="U3" s="12">
        <f t="shared" si="0"/>
        <v>14</v>
      </c>
      <c r="V3" s="12">
        <f t="shared" si="0"/>
        <v>15</v>
      </c>
      <c r="W3" s="12">
        <f t="shared" si="0"/>
        <v>16</v>
      </c>
      <c r="X3" s="12">
        <f t="shared" si="0"/>
        <v>17</v>
      </c>
      <c r="Y3" s="12">
        <f t="shared" si="0"/>
        <v>18</v>
      </c>
      <c r="Z3" s="12">
        <f t="shared" si="0"/>
        <v>19</v>
      </c>
      <c r="AA3" s="12">
        <f t="shared" si="0"/>
        <v>20</v>
      </c>
      <c r="AB3" s="12">
        <f t="shared" si="0"/>
        <v>21</v>
      </c>
      <c r="AC3" s="12">
        <f t="shared" si="0"/>
        <v>22</v>
      </c>
      <c r="AD3" s="12">
        <f t="shared" si="0"/>
        <v>23</v>
      </c>
      <c r="AE3" s="12">
        <f t="shared" si="0"/>
        <v>24</v>
      </c>
      <c r="AF3" s="13" t="str">
        <f t="shared" si="0"/>
        <v/>
      </c>
    </row>
    <row r="4" spans="1:32" s="17" customFormat="1" ht="13.5" customHeight="1">
      <c r="A4" s="178" t="s">
        <v>66</v>
      </c>
      <c r="B4" s="176" t="s">
        <v>113</v>
      </c>
      <c r="C4" s="176"/>
      <c r="D4" s="176"/>
      <c r="E4" s="176"/>
      <c r="F4" s="176"/>
      <c r="G4" s="219"/>
      <c r="H4" s="14"/>
      <c r="I4" s="15"/>
      <c r="J4" s="15"/>
      <c r="K4" s="15"/>
      <c r="L4" s="15"/>
      <c r="M4" s="15"/>
      <c r="N4" s="15"/>
      <c r="O4" s="15"/>
      <c r="P4" s="15"/>
      <c r="Q4" s="15"/>
      <c r="R4" s="15"/>
      <c r="S4" s="15"/>
      <c r="T4" s="15"/>
      <c r="U4" s="15"/>
      <c r="V4" s="15"/>
      <c r="W4" s="15"/>
      <c r="X4" s="15"/>
      <c r="Y4" s="15"/>
      <c r="Z4" s="15"/>
      <c r="AA4" s="15"/>
      <c r="AB4" s="15"/>
      <c r="AC4" s="15"/>
      <c r="AD4" s="15"/>
      <c r="AE4" s="15"/>
      <c r="AF4" s="16"/>
    </row>
    <row r="5" spans="1:32" s="17" customFormat="1" ht="13.5" customHeight="1">
      <c r="A5" s="179"/>
      <c r="B5" s="180" t="s">
        <v>49</v>
      </c>
      <c r="C5" s="181"/>
      <c r="D5" s="181"/>
      <c r="E5" s="181"/>
      <c r="F5" s="181"/>
      <c r="G5" s="220"/>
      <c r="H5" s="18" t="s">
        <v>177</v>
      </c>
      <c r="I5" s="99" t="s">
        <v>177</v>
      </c>
      <c r="J5" s="99" t="s">
        <v>177</v>
      </c>
      <c r="K5" s="99" t="s">
        <v>177</v>
      </c>
      <c r="L5" s="99" t="s">
        <v>177</v>
      </c>
      <c r="M5" s="99" t="s">
        <v>177</v>
      </c>
      <c r="N5" s="99" t="s">
        <v>177</v>
      </c>
      <c r="O5" s="99" t="s">
        <v>177</v>
      </c>
      <c r="P5" s="99" t="s">
        <v>177</v>
      </c>
      <c r="Q5" s="99" t="s">
        <v>177</v>
      </c>
      <c r="R5" s="99" t="s">
        <v>177</v>
      </c>
      <c r="S5" s="99" t="s">
        <v>177</v>
      </c>
      <c r="T5" s="99" t="s">
        <v>177</v>
      </c>
      <c r="U5" s="99" t="s">
        <v>177</v>
      </c>
      <c r="V5" s="99" t="s">
        <v>177</v>
      </c>
      <c r="W5" s="99" t="s">
        <v>177</v>
      </c>
      <c r="X5" s="99" t="s">
        <v>177</v>
      </c>
      <c r="Y5" s="99" t="s">
        <v>177</v>
      </c>
      <c r="Z5" s="99" t="s">
        <v>177</v>
      </c>
      <c r="AA5" s="99" t="s">
        <v>177</v>
      </c>
      <c r="AB5" s="99" t="s">
        <v>177</v>
      </c>
      <c r="AC5" s="99" t="s">
        <v>177</v>
      </c>
      <c r="AD5" s="99" t="s">
        <v>177</v>
      </c>
      <c r="AE5" s="99" t="s">
        <v>177</v>
      </c>
      <c r="AF5" s="20"/>
    </row>
    <row r="6" spans="1:32" s="17" customFormat="1" ht="13.5" customHeight="1">
      <c r="A6" s="179"/>
      <c r="B6" s="225"/>
      <c r="C6" s="210" t="s">
        <v>175</v>
      </c>
      <c r="D6" s="210"/>
      <c r="E6" s="210"/>
      <c r="F6" s="210"/>
      <c r="G6" s="211"/>
      <c r="H6" s="85" t="s">
        <v>177</v>
      </c>
      <c r="I6" s="90"/>
      <c r="J6" s="90"/>
      <c r="K6" s="90"/>
      <c r="L6" s="90"/>
      <c r="M6" s="90"/>
      <c r="N6" s="90"/>
      <c r="O6" s="90"/>
      <c r="P6" s="90"/>
      <c r="Q6" s="90"/>
      <c r="R6" s="90"/>
      <c r="S6" s="90"/>
      <c r="T6" s="90"/>
      <c r="U6" s="90"/>
      <c r="V6" s="90"/>
      <c r="W6" s="90"/>
      <c r="X6" s="90"/>
      <c r="Y6" s="90"/>
      <c r="Z6" s="90"/>
      <c r="AA6" s="90"/>
      <c r="AB6" s="90"/>
      <c r="AC6" s="90"/>
      <c r="AD6" s="90"/>
      <c r="AE6" s="90"/>
      <c r="AF6" s="20"/>
    </row>
    <row r="7" spans="1:32" s="17" customFormat="1" ht="13.5" customHeight="1">
      <c r="A7" s="179"/>
      <c r="B7" s="226"/>
      <c r="C7" s="210" t="s">
        <v>130</v>
      </c>
      <c r="D7" s="210"/>
      <c r="E7" s="210"/>
      <c r="F7" s="210"/>
      <c r="G7" s="211"/>
      <c r="H7" s="85"/>
      <c r="I7" s="99" t="s">
        <v>177</v>
      </c>
      <c r="J7" s="90"/>
      <c r="K7" s="90"/>
      <c r="L7" s="90"/>
      <c r="M7" s="90"/>
      <c r="N7" s="90"/>
      <c r="O7" s="90"/>
      <c r="P7" s="90"/>
      <c r="Q7" s="90"/>
      <c r="R7" s="90"/>
      <c r="S7" s="90"/>
      <c r="T7" s="90"/>
      <c r="U7" s="90"/>
      <c r="V7" s="90"/>
      <c r="W7" s="90"/>
      <c r="X7" s="90"/>
      <c r="Y7" s="90"/>
      <c r="Z7" s="90"/>
      <c r="AA7" s="90"/>
      <c r="AB7" s="90"/>
      <c r="AC7" s="90"/>
      <c r="AD7" s="90"/>
      <c r="AE7" s="90"/>
      <c r="AF7" s="20"/>
    </row>
    <row r="8" spans="1:32" s="17" customFormat="1" ht="13.5" customHeight="1">
      <c r="A8" s="179"/>
      <c r="B8" s="226"/>
      <c r="C8" s="180" t="s">
        <v>67</v>
      </c>
      <c r="D8" s="183"/>
      <c r="E8" s="183"/>
      <c r="F8" s="183"/>
      <c r="G8" s="221"/>
      <c r="H8" s="22"/>
      <c r="I8" s="23"/>
      <c r="J8" s="23" t="s">
        <v>177</v>
      </c>
      <c r="K8" s="23"/>
      <c r="L8" s="23"/>
      <c r="M8" s="23"/>
      <c r="N8" s="23"/>
      <c r="O8" s="23"/>
      <c r="P8" s="23"/>
      <c r="Q8" s="23"/>
      <c r="R8" s="23"/>
      <c r="S8" s="23"/>
      <c r="T8" s="23"/>
      <c r="U8" s="23"/>
      <c r="V8" s="23"/>
      <c r="W8" s="23"/>
      <c r="X8" s="23"/>
      <c r="Y8" s="23"/>
      <c r="Z8" s="23"/>
      <c r="AA8" s="23"/>
      <c r="AB8" s="23"/>
      <c r="AC8" s="23"/>
      <c r="AD8" s="23"/>
      <c r="AE8" s="23"/>
      <c r="AF8" s="24"/>
    </row>
    <row r="9" spans="1:32" s="17" customFormat="1" ht="13.5" customHeight="1">
      <c r="A9" s="179"/>
      <c r="B9" s="226"/>
      <c r="C9" s="210" t="s">
        <v>131</v>
      </c>
      <c r="D9" s="210"/>
      <c r="E9" s="210"/>
      <c r="F9" s="210"/>
      <c r="G9" s="211"/>
      <c r="H9" s="22"/>
      <c r="I9" s="23"/>
      <c r="J9" s="23"/>
      <c r="K9" s="23" t="s">
        <v>177</v>
      </c>
      <c r="L9" s="23"/>
      <c r="M9" s="23"/>
      <c r="N9" s="23"/>
      <c r="O9" s="23"/>
      <c r="P9" s="23"/>
      <c r="Q9" s="23"/>
      <c r="R9" s="23"/>
      <c r="S9" s="23"/>
      <c r="T9" s="23"/>
      <c r="U9" s="23"/>
      <c r="V9" s="23"/>
      <c r="W9" s="23"/>
      <c r="X9" s="23"/>
      <c r="Y9" s="23"/>
      <c r="Z9" s="23"/>
      <c r="AA9" s="23"/>
      <c r="AB9" s="23"/>
      <c r="AC9" s="23"/>
      <c r="AD9" s="23"/>
      <c r="AE9" s="23"/>
      <c r="AF9" s="24"/>
    </row>
    <row r="10" spans="1:32" s="17" customFormat="1" ht="13.5" customHeight="1">
      <c r="A10" s="179"/>
      <c r="B10" s="226"/>
      <c r="C10" s="210" t="s">
        <v>71</v>
      </c>
      <c r="D10" s="210"/>
      <c r="E10" s="210"/>
      <c r="F10" s="210"/>
      <c r="G10" s="211"/>
      <c r="H10" s="22"/>
      <c r="I10" s="23"/>
      <c r="J10" s="23"/>
      <c r="K10" s="23"/>
      <c r="L10" s="23" t="s">
        <v>177</v>
      </c>
      <c r="M10" s="23"/>
      <c r="N10" s="23"/>
      <c r="O10" s="23"/>
      <c r="P10" s="23"/>
      <c r="Q10" s="23"/>
      <c r="R10" s="23"/>
      <c r="S10" s="23"/>
      <c r="T10" s="23"/>
      <c r="U10" s="23"/>
      <c r="V10" s="23"/>
      <c r="W10" s="23"/>
      <c r="X10" s="23"/>
      <c r="Y10" s="23"/>
      <c r="Z10" s="23"/>
      <c r="AA10" s="23"/>
      <c r="AB10" s="23"/>
      <c r="AC10" s="23"/>
      <c r="AD10" s="23"/>
      <c r="AE10" s="23"/>
      <c r="AF10" s="24"/>
    </row>
    <row r="11" spans="1:32" s="17" customFormat="1" ht="13.5" customHeight="1">
      <c r="A11" s="179"/>
      <c r="B11" s="226"/>
      <c r="C11" s="210" t="s">
        <v>120</v>
      </c>
      <c r="D11" s="210"/>
      <c r="E11" s="210"/>
      <c r="F11" s="210"/>
      <c r="G11" s="211"/>
      <c r="H11" s="22"/>
      <c r="I11" s="23"/>
      <c r="J11" s="23"/>
      <c r="K11" s="23"/>
      <c r="L11" s="23"/>
      <c r="M11" s="23" t="s">
        <v>177</v>
      </c>
      <c r="N11" s="23"/>
      <c r="O11" s="23"/>
      <c r="P11" s="23"/>
      <c r="Q11" s="23"/>
      <c r="R11" s="23"/>
      <c r="S11" s="23"/>
      <c r="T11" s="23"/>
      <c r="U11" s="23"/>
      <c r="V11" s="23"/>
      <c r="W11" s="23"/>
      <c r="X11" s="23"/>
      <c r="Y11" s="23"/>
      <c r="Z11" s="23"/>
      <c r="AA11" s="23"/>
      <c r="AB11" s="23"/>
      <c r="AC11" s="23"/>
      <c r="AD11" s="23"/>
      <c r="AE11" s="23"/>
      <c r="AF11" s="24"/>
    </row>
    <row r="12" spans="1:32" s="17" customFormat="1" ht="13.5" customHeight="1">
      <c r="A12" s="179"/>
      <c r="B12" s="226"/>
      <c r="C12" s="210" t="s">
        <v>132</v>
      </c>
      <c r="D12" s="210"/>
      <c r="E12" s="210"/>
      <c r="F12" s="210"/>
      <c r="G12" s="211"/>
      <c r="H12" s="22"/>
      <c r="I12" s="23"/>
      <c r="J12" s="23"/>
      <c r="K12" s="23"/>
      <c r="L12" s="23"/>
      <c r="M12" s="23"/>
      <c r="N12" s="23"/>
      <c r="O12" s="23"/>
      <c r="P12" s="23"/>
      <c r="Q12" s="23"/>
      <c r="R12" s="23"/>
      <c r="S12" s="23"/>
      <c r="T12" s="23"/>
      <c r="U12" s="23"/>
      <c r="V12" s="23"/>
      <c r="W12" s="23"/>
      <c r="X12" s="23"/>
      <c r="Y12" s="23"/>
      <c r="Z12" s="23"/>
      <c r="AA12" s="23"/>
      <c r="AB12" s="23"/>
      <c r="AC12" s="23"/>
      <c r="AD12" s="23"/>
      <c r="AE12" s="23"/>
      <c r="AF12" s="24"/>
    </row>
    <row r="13" spans="1:32" s="17" customFormat="1" ht="13.5" customHeight="1">
      <c r="A13" s="179"/>
      <c r="B13" s="226"/>
      <c r="C13" s="212"/>
      <c r="D13" s="210" t="s">
        <v>55</v>
      </c>
      <c r="E13" s="210"/>
      <c r="F13" s="210"/>
      <c r="G13" s="211"/>
      <c r="H13" s="22"/>
      <c r="I13" s="23"/>
      <c r="J13" s="23"/>
      <c r="K13" s="23"/>
      <c r="L13" s="23"/>
      <c r="M13" s="23"/>
      <c r="N13" s="23" t="s">
        <v>177</v>
      </c>
      <c r="O13" s="23"/>
      <c r="P13" s="23"/>
      <c r="Q13" s="23"/>
      <c r="R13" s="23"/>
      <c r="S13" s="23"/>
      <c r="T13" s="23"/>
      <c r="U13" s="23"/>
      <c r="V13" s="23"/>
      <c r="W13" s="23"/>
      <c r="X13" s="23"/>
      <c r="Y13" s="23"/>
      <c r="Z13" s="23"/>
      <c r="AA13" s="23"/>
      <c r="AB13" s="23"/>
      <c r="AC13" s="23"/>
      <c r="AD13" s="23"/>
      <c r="AE13" s="23"/>
      <c r="AF13" s="24"/>
    </row>
    <row r="14" spans="1:32" s="17" customFormat="1" ht="13.5" customHeight="1">
      <c r="A14" s="179"/>
      <c r="B14" s="226"/>
      <c r="C14" s="212"/>
      <c r="D14" s="210" t="s">
        <v>75</v>
      </c>
      <c r="E14" s="210"/>
      <c r="F14" s="210"/>
      <c r="G14" s="211"/>
      <c r="H14" s="22"/>
      <c r="I14" s="23"/>
      <c r="J14" s="23"/>
      <c r="K14" s="23"/>
      <c r="L14" s="23"/>
      <c r="M14" s="23"/>
      <c r="N14" s="23"/>
      <c r="O14" s="23" t="s">
        <v>177</v>
      </c>
      <c r="P14" s="23"/>
      <c r="Q14" s="23"/>
      <c r="R14" s="23"/>
      <c r="S14" s="23"/>
      <c r="T14" s="23"/>
      <c r="U14" s="23"/>
      <c r="V14" s="23"/>
      <c r="W14" s="23"/>
      <c r="X14" s="23"/>
      <c r="Y14" s="23"/>
      <c r="Z14" s="23"/>
      <c r="AA14" s="23"/>
      <c r="AB14" s="23"/>
      <c r="AC14" s="23"/>
      <c r="AD14" s="23"/>
      <c r="AE14" s="23"/>
      <c r="AF14" s="24"/>
    </row>
    <row r="15" spans="1:32" s="17" customFormat="1" ht="13.5" customHeight="1">
      <c r="A15" s="179"/>
      <c r="B15" s="226"/>
      <c r="C15" s="210" t="s">
        <v>104</v>
      </c>
      <c r="D15" s="210"/>
      <c r="E15" s="210"/>
      <c r="F15" s="210"/>
      <c r="G15" s="211"/>
      <c r="H15" s="22"/>
      <c r="I15" s="23"/>
      <c r="J15" s="23"/>
      <c r="K15" s="23"/>
      <c r="L15" s="23"/>
      <c r="M15" s="23"/>
      <c r="N15" s="23"/>
      <c r="O15" s="23"/>
      <c r="P15" s="23" t="s">
        <v>177</v>
      </c>
      <c r="Q15" s="23"/>
      <c r="R15" s="23"/>
      <c r="S15" s="23"/>
      <c r="T15" s="23"/>
      <c r="U15" s="23"/>
      <c r="V15" s="23"/>
      <c r="W15" s="23"/>
      <c r="X15" s="23"/>
      <c r="Y15" s="23"/>
      <c r="Z15" s="23"/>
      <c r="AA15" s="23"/>
      <c r="AB15" s="23"/>
      <c r="AC15" s="23"/>
      <c r="AD15" s="23"/>
      <c r="AE15" s="23"/>
      <c r="AF15" s="24"/>
    </row>
    <row r="16" spans="1:32" s="17" customFormat="1" ht="13.5" customHeight="1">
      <c r="A16" s="179"/>
      <c r="B16" s="226"/>
      <c r="C16" s="210" t="s">
        <v>112</v>
      </c>
      <c r="D16" s="210"/>
      <c r="E16" s="210"/>
      <c r="F16" s="210"/>
      <c r="G16" s="211"/>
      <c r="H16" s="22"/>
      <c r="I16" s="23"/>
      <c r="J16" s="23"/>
      <c r="K16" s="23"/>
      <c r="L16" s="23"/>
      <c r="M16" s="23"/>
      <c r="N16" s="23"/>
      <c r="O16" s="23"/>
      <c r="P16" s="23"/>
      <c r="Q16" s="23"/>
      <c r="R16" s="23"/>
      <c r="S16" s="23"/>
      <c r="T16" s="23"/>
      <c r="U16" s="23"/>
      <c r="V16" s="23"/>
      <c r="W16" s="23"/>
      <c r="X16" s="23"/>
      <c r="Y16" s="23"/>
      <c r="Z16" s="23"/>
      <c r="AA16" s="23"/>
      <c r="AB16" s="23"/>
      <c r="AC16" s="23"/>
      <c r="AD16" s="23"/>
      <c r="AE16" s="23"/>
      <c r="AF16" s="24"/>
    </row>
    <row r="17" spans="1:32" s="17" customFormat="1" ht="13.5" customHeight="1">
      <c r="A17" s="179"/>
      <c r="B17" s="226"/>
      <c r="C17" s="210"/>
      <c r="D17" s="210" t="s">
        <v>133</v>
      </c>
      <c r="E17" s="210"/>
      <c r="F17" s="210"/>
      <c r="G17" s="211"/>
      <c r="H17" s="22"/>
      <c r="I17" s="23"/>
      <c r="J17" s="23"/>
      <c r="K17" s="23"/>
      <c r="L17" s="23"/>
      <c r="M17" s="23"/>
      <c r="N17" s="23"/>
      <c r="O17" s="23"/>
      <c r="P17" s="23"/>
      <c r="Q17" s="23" t="s">
        <v>177</v>
      </c>
      <c r="R17" s="23"/>
      <c r="S17" s="23"/>
      <c r="T17" s="23"/>
      <c r="U17" s="23"/>
      <c r="V17" s="23"/>
      <c r="W17" s="23"/>
      <c r="X17" s="23"/>
      <c r="Y17" s="23"/>
      <c r="Z17" s="23"/>
      <c r="AA17" s="23"/>
      <c r="AB17" s="23"/>
      <c r="AC17" s="23"/>
      <c r="AD17" s="23"/>
      <c r="AE17" s="23"/>
      <c r="AF17" s="24"/>
    </row>
    <row r="18" spans="1:32" s="17" customFormat="1" ht="13.5" customHeight="1">
      <c r="A18" s="179"/>
      <c r="B18" s="226"/>
      <c r="C18" s="210"/>
      <c r="D18" s="210" t="s">
        <v>78</v>
      </c>
      <c r="E18" s="210"/>
      <c r="F18" s="210"/>
      <c r="G18" s="211"/>
      <c r="H18" s="22"/>
      <c r="I18" s="23"/>
      <c r="J18" s="23"/>
      <c r="K18" s="23"/>
      <c r="L18" s="23"/>
      <c r="M18" s="23"/>
      <c r="N18" s="23"/>
      <c r="O18" s="23"/>
      <c r="P18" s="23"/>
      <c r="Q18" s="23"/>
      <c r="R18" s="23" t="s">
        <v>177</v>
      </c>
      <c r="S18" s="23"/>
      <c r="T18" s="23"/>
      <c r="U18" s="23"/>
      <c r="V18" s="23"/>
      <c r="W18" s="23"/>
      <c r="X18" s="23"/>
      <c r="Y18" s="23"/>
      <c r="Z18" s="23"/>
      <c r="AA18" s="23"/>
      <c r="AB18" s="23"/>
      <c r="AC18" s="23"/>
      <c r="AD18" s="23"/>
      <c r="AE18" s="23"/>
      <c r="AF18" s="24"/>
    </row>
    <row r="19" spans="1:32" s="17" customFormat="1" ht="13.5" customHeight="1">
      <c r="A19" s="179"/>
      <c r="B19" s="226"/>
      <c r="C19" s="210"/>
      <c r="D19" s="210" t="s">
        <v>62</v>
      </c>
      <c r="E19" s="210"/>
      <c r="F19" s="210"/>
      <c r="G19" s="211"/>
      <c r="H19" s="22"/>
      <c r="I19" s="23"/>
      <c r="J19" s="23"/>
      <c r="K19" s="23"/>
      <c r="L19" s="23"/>
      <c r="M19" s="23"/>
      <c r="N19" s="23"/>
      <c r="O19" s="23"/>
      <c r="P19" s="23"/>
      <c r="Q19" s="23"/>
      <c r="R19" s="23"/>
      <c r="S19" s="23" t="s">
        <v>177</v>
      </c>
      <c r="T19" s="23"/>
      <c r="U19" s="23"/>
      <c r="V19" s="23"/>
      <c r="W19" s="23"/>
      <c r="X19" s="23"/>
      <c r="Y19" s="23"/>
      <c r="Z19" s="23"/>
      <c r="AA19" s="23"/>
      <c r="AB19" s="23"/>
      <c r="AC19" s="23"/>
      <c r="AD19" s="23"/>
      <c r="AE19" s="23"/>
      <c r="AF19" s="24"/>
    </row>
    <row r="20" spans="1:32" s="17" customFormat="1" ht="13.5" customHeight="1">
      <c r="A20" s="179"/>
      <c r="B20" s="226"/>
      <c r="C20" s="210" t="s">
        <v>79</v>
      </c>
      <c r="D20" s="210"/>
      <c r="E20" s="210"/>
      <c r="F20" s="210"/>
      <c r="G20" s="211"/>
      <c r="H20" s="22"/>
      <c r="I20" s="23"/>
      <c r="J20" s="23"/>
      <c r="K20" s="23"/>
      <c r="L20" s="23"/>
      <c r="M20" s="23"/>
      <c r="N20" s="23"/>
      <c r="O20" s="23"/>
      <c r="P20" s="23"/>
      <c r="Q20" s="23"/>
      <c r="R20" s="23"/>
      <c r="S20" s="23"/>
      <c r="T20" s="23" t="s">
        <v>177</v>
      </c>
      <c r="U20" s="23"/>
      <c r="V20" s="23"/>
      <c r="W20" s="23"/>
      <c r="X20" s="23"/>
      <c r="Y20" s="23"/>
      <c r="Z20" s="23"/>
      <c r="AA20" s="23"/>
      <c r="AB20" s="23"/>
      <c r="AC20" s="23"/>
      <c r="AD20" s="23"/>
      <c r="AE20" s="23"/>
      <c r="AF20" s="24"/>
    </row>
    <row r="21" spans="1:32" s="17" customFormat="1" ht="13.5" customHeight="1">
      <c r="A21" s="179"/>
      <c r="B21" s="226"/>
      <c r="C21" s="210" t="s">
        <v>134</v>
      </c>
      <c r="D21" s="210"/>
      <c r="E21" s="210"/>
      <c r="F21" s="210"/>
      <c r="G21" s="211"/>
      <c r="H21" s="22"/>
      <c r="I21" s="23"/>
      <c r="J21" s="23"/>
      <c r="K21" s="23"/>
      <c r="L21" s="23"/>
      <c r="M21" s="23"/>
      <c r="N21" s="23"/>
      <c r="O21" s="23"/>
      <c r="P21" s="23"/>
      <c r="Q21" s="23"/>
      <c r="R21" s="23"/>
      <c r="S21" s="23"/>
      <c r="T21" s="23"/>
      <c r="U21" s="23"/>
      <c r="V21" s="23"/>
      <c r="W21" s="23"/>
      <c r="X21" s="23"/>
      <c r="Y21" s="23"/>
      <c r="Z21" s="23"/>
      <c r="AA21" s="23"/>
      <c r="AB21" s="23"/>
      <c r="AC21" s="23"/>
      <c r="AD21" s="23"/>
      <c r="AE21" s="23"/>
      <c r="AF21" s="24"/>
    </row>
    <row r="22" spans="1:32" s="17" customFormat="1" ht="13.5" customHeight="1">
      <c r="A22" s="179"/>
      <c r="B22" s="226"/>
      <c r="C22" s="212"/>
      <c r="D22" s="213" t="s">
        <v>81</v>
      </c>
      <c r="E22" s="210"/>
      <c r="F22" s="210"/>
      <c r="G22" s="211"/>
      <c r="H22" s="22"/>
      <c r="I22" s="23"/>
      <c r="J22" s="23"/>
      <c r="K22" s="23"/>
      <c r="L22" s="23"/>
      <c r="M22" s="23"/>
      <c r="N22" s="23"/>
      <c r="O22" s="23"/>
      <c r="P22" s="23"/>
      <c r="Q22" s="23"/>
      <c r="R22" s="23"/>
      <c r="S22" s="23"/>
      <c r="T22" s="23"/>
      <c r="U22" s="23" t="s">
        <v>177</v>
      </c>
      <c r="V22" s="23"/>
      <c r="W22" s="23"/>
      <c r="X22" s="23"/>
      <c r="Y22" s="23"/>
      <c r="Z22" s="23"/>
      <c r="AA22" s="23"/>
      <c r="AB22" s="23"/>
      <c r="AC22" s="23"/>
      <c r="AD22" s="23"/>
      <c r="AE22" s="23"/>
      <c r="AF22" s="24"/>
    </row>
    <row r="23" spans="1:32" s="17" customFormat="1" ht="13.5" customHeight="1">
      <c r="A23" s="179"/>
      <c r="B23" s="226"/>
      <c r="C23" s="212"/>
      <c r="D23" s="213" t="s">
        <v>82</v>
      </c>
      <c r="E23" s="210"/>
      <c r="F23" s="210"/>
      <c r="G23" s="211"/>
      <c r="H23" s="22"/>
      <c r="I23" s="23"/>
      <c r="J23" s="23"/>
      <c r="K23" s="23"/>
      <c r="L23" s="23"/>
      <c r="M23" s="23"/>
      <c r="N23" s="23"/>
      <c r="O23" s="23"/>
      <c r="P23" s="23"/>
      <c r="Q23" s="23"/>
      <c r="R23" s="23"/>
      <c r="S23" s="23"/>
      <c r="T23" s="23"/>
      <c r="U23" s="23"/>
      <c r="V23" s="23" t="s">
        <v>177</v>
      </c>
      <c r="W23" s="23"/>
      <c r="X23" s="23"/>
      <c r="Y23" s="23"/>
      <c r="Z23" s="23"/>
      <c r="AA23" s="23"/>
      <c r="AB23" s="23"/>
      <c r="AC23" s="23"/>
      <c r="AD23" s="23"/>
      <c r="AE23" s="23"/>
      <c r="AF23" s="24"/>
    </row>
    <row r="24" spans="1:32" s="17" customFormat="1" ht="13.5" customHeight="1">
      <c r="A24" s="179"/>
      <c r="B24" s="226"/>
      <c r="C24" s="212"/>
      <c r="D24" s="213" t="s">
        <v>83</v>
      </c>
      <c r="E24" s="210"/>
      <c r="F24" s="210"/>
      <c r="G24" s="211"/>
      <c r="H24" s="22"/>
      <c r="I24" s="23"/>
      <c r="J24" s="23"/>
      <c r="K24" s="23"/>
      <c r="L24" s="23"/>
      <c r="M24" s="23"/>
      <c r="N24" s="23"/>
      <c r="O24" s="23"/>
      <c r="P24" s="23"/>
      <c r="Q24" s="23"/>
      <c r="R24" s="23"/>
      <c r="S24" s="23"/>
      <c r="T24" s="23"/>
      <c r="U24" s="23"/>
      <c r="V24" s="23"/>
      <c r="W24" s="23" t="s">
        <v>177</v>
      </c>
      <c r="X24" s="23"/>
      <c r="Y24" s="23"/>
      <c r="Z24" s="23"/>
      <c r="AA24" s="23"/>
      <c r="AB24" s="23"/>
      <c r="AC24" s="23"/>
      <c r="AD24" s="23"/>
      <c r="AE24" s="23"/>
      <c r="AF24" s="24"/>
    </row>
    <row r="25" spans="1:32" s="17" customFormat="1" ht="13.5" customHeight="1">
      <c r="A25" s="179"/>
      <c r="B25" s="226"/>
      <c r="C25" s="212"/>
      <c r="D25" s="213" t="s">
        <v>84</v>
      </c>
      <c r="E25" s="210"/>
      <c r="F25" s="210"/>
      <c r="G25" s="211"/>
      <c r="H25" s="22"/>
      <c r="I25" s="23"/>
      <c r="J25" s="23"/>
      <c r="K25" s="23"/>
      <c r="L25" s="23"/>
      <c r="M25" s="23"/>
      <c r="N25" s="23"/>
      <c r="O25" s="23"/>
      <c r="P25" s="23"/>
      <c r="Q25" s="23"/>
      <c r="R25" s="23"/>
      <c r="S25" s="23"/>
      <c r="T25" s="23"/>
      <c r="U25" s="23"/>
      <c r="V25" s="23"/>
      <c r="W25" s="23"/>
      <c r="X25" s="23" t="s">
        <v>177</v>
      </c>
      <c r="Y25" s="23"/>
      <c r="Z25" s="23"/>
      <c r="AA25" s="23"/>
      <c r="AB25" s="23"/>
      <c r="AC25" s="23"/>
      <c r="AD25" s="23"/>
      <c r="AE25" s="23"/>
      <c r="AF25" s="24"/>
    </row>
    <row r="26" spans="1:32" s="17" customFormat="1" ht="13.5" customHeight="1">
      <c r="A26" s="179"/>
      <c r="B26" s="226"/>
      <c r="C26" s="212"/>
      <c r="D26" s="183" t="s">
        <v>85</v>
      </c>
      <c r="E26" s="183"/>
      <c r="F26" s="183"/>
      <c r="G26" s="221"/>
      <c r="H26" s="22"/>
      <c r="I26" s="23"/>
      <c r="J26" s="23"/>
      <c r="K26" s="23"/>
      <c r="L26" s="23"/>
      <c r="M26" s="23"/>
      <c r="N26" s="23"/>
      <c r="O26" s="23"/>
      <c r="P26" s="23"/>
      <c r="Q26" s="23"/>
      <c r="R26" s="23"/>
      <c r="S26" s="23"/>
      <c r="T26" s="23"/>
      <c r="U26" s="23"/>
      <c r="V26" s="23"/>
      <c r="W26" s="23"/>
      <c r="X26" s="23"/>
      <c r="Y26" s="23" t="s">
        <v>177</v>
      </c>
      <c r="Z26" s="23"/>
      <c r="AA26" s="23"/>
      <c r="AB26" s="23"/>
      <c r="AC26" s="23"/>
      <c r="AD26" s="23"/>
      <c r="AE26" s="23"/>
      <c r="AF26" s="24"/>
    </row>
    <row r="27" spans="1:32" s="17" customFormat="1" ht="13.5" customHeight="1">
      <c r="A27" s="179"/>
      <c r="B27" s="226"/>
      <c r="C27" s="180" t="s">
        <v>135</v>
      </c>
      <c r="D27" s="183"/>
      <c r="E27" s="183"/>
      <c r="F27" s="183"/>
      <c r="G27" s="221"/>
      <c r="H27" s="22"/>
      <c r="I27" s="23"/>
      <c r="J27" s="23"/>
      <c r="K27" s="23"/>
      <c r="L27" s="23"/>
      <c r="M27" s="23"/>
      <c r="N27" s="23"/>
      <c r="O27" s="23"/>
      <c r="P27" s="23"/>
      <c r="Q27" s="23"/>
      <c r="R27" s="23"/>
      <c r="S27" s="23"/>
      <c r="T27" s="23"/>
      <c r="U27" s="23"/>
      <c r="V27" s="23"/>
      <c r="W27" s="23"/>
      <c r="X27" s="23"/>
      <c r="Y27" s="23"/>
      <c r="Z27" s="23" t="s">
        <v>177</v>
      </c>
      <c r="AA27" s="23"/>
      <c r="AB27" s="23"/>
      <c r="AC27" s="23"/>
      <c r="AD27" s="23"/>
      <c r="AE27" s="23"/>
      <c r="AF27" s="24"/>
    </row>
    <row r="28" spans="1:32" s="17" customFormat="1" ht="13.5" customHeight="1">
      <c r="A28" s="179"/>
      <c r="B28" s="226"/>
      <c r="C28" s="180" t="s">
        <v>136</v>
      </c>
      <c r="D28" s="183"/>
      <c r="E28" s="183"/>
      <c r="F28" s="183"/>
      <c r="G28" s="221"/>
      <c r="H28" s="22"/>
      <c r="I28" s="23"/>
      <c r="J28" s="23"/>
      <c r="K28" s="23"/>
      <c r="L28" s="23"/>
      <c r="M28" s="23"/>
      <c r="N28" s="23"/>
      <c r="O28" s="23"/>
      <c r="P28" s="23"/>
      <c r="Q28" s="23"/>
      <c r="R28" s="23"/>
      <c r="S28" s="23"/>
      <c r="T28" s="23"/>
      <c r="U28" s="23"/>
      <c r="V28" s="23"/>
      <c r="W28" s="23"/>
      <c r="X28" s="23"/>
      <c r="Y28" s="23"/>
      <c r="Z28" s="23"/>
      <c r="AA28" s="23" t="s">
        <v>177</v>
      </c>
      <c r="AB28" s="23"/>
      <c r="AC28" s="23"/>
      <c r="AD28" s="23"/>
      <c r="AE28" s="23"/>
      <c r="AF28" s="24"/>
    </row>
    <row r="29" spans="1:32" s="17" customFormat="1" ht="13.5" customHeight="1">
      <c r="A29" s="179"/>
      <c r="B29" s="226"/>
      <c r="C29" s="210" t="s">
        <v>137</v>
      </c>
      <c r="D29" s="210"/>
      <c r="E29" s="210"/>
      <c r="F29" s="210"/>
      <c r="G29" s="211"/>
      <c r="H29" s="22"/>
      <c r="I29" s="23"/>
      <c r="J29" s="23"/>
      <c r="K29" s="23"/>
      <c r="L29" s="23"/>
      <c r="M29" s="23"/>
      <c r="N29" s="23"/>
      <c r="O29" s="23"/>
      <c r="P29" s="23"/>
      <c r="Q29" s="23"/>
      <c r="R29" s="23"/>
      <c r="S29" s="23"/>
      <c r="T29" s="23"/>
      <c r="U29" s="23"/>
      <c r="V29" s="23"/>
      <c r="W29" s="23"/>
      <c r="X29" s="23"/>
      <c r="Y29" s="23"/>
      <c r="Z29" s="23"/>
      <c r="AA29" s="23"/>
      <c r="AB29" s="23"/>
      <c r="AC29" s="23"/>
      <c r="AD29" s="23"/>
      <c r="AE29" s="23"/>
      <c r="AF29" s="24"/>
    </row>
    <row r="30" spans="1:32" s="17" customFormat="1" ht="13.5" customHeight="1">
      <c r="A30" s="179"/>
      <c r="B30" s="226"/>
      <c r="C30" s="212"/>
      <c r="D30" s="210" t="s">
        <v>138</v>
      </c>
      <c r="E30" s="210"/>
      <c r="F30" s="210"/>
      <c r="G30" s="211"/>
      <c r="H30" s="22"/>
      <c r="I30" s="23"/>
      <c r="J30" s="23"/>
      <c r="K30" s="23"/>
      <c r="L30" s="23"/>
      <c r="M30" s="23"/>
      <c r="N30" s="23"/>
      <c r="O30" s="23"/>
      <c r="P30" s="23"/>
      <c r="Q30" s="23"/>
      <c r="R30" s="23"/>
      <c r="S30" s="23"/>
      <c r="T30" s="23"/>
      <c r="U30" s="23"/>
      <c r="V30" s="23"/>
      <c r="W30" s="23"/>
      <c r="X30" s="23"/>
      <c r="Y30" s="23"/>
      <c r="Z30" s="23"/>
      <c r="AA30" s="23"/>
      <c r="AB30" s="23" t="s">
        <v>177</v>
      </c>
      <c r="AC30" s="23"/>
      <c r="AD30" s="23"/>
      <c r="AE30" s="23"/>
      <c r="AF30" s="24"/>
    </row>
    <row r="31" spans="1:32" s="17" customFormat="1" ht="13.5" customHeight="1">
      <c r="A31" s="179"/>
      <c r="B31" s="226"/>
      <c r="C31" s="212"/>
      <c r="D31" s="210" t="s">
        <v>139</v>
      </c>
      <c r="E31" s="210"/>
      <c r="F31" s="210"/>
      <c r="G31" s="211"/>
      <c r="H31" s="22"/>
      <c r="I31" s="23"/>
      <c r="J31" s="23"/>
      <c r="K31" s="23"/>
      <c r="L31" s="23"/>
      <c r="M31" s="23"/>
      <c r="N31" s="23"/>
      <c r="O31" s="23"/>
      <c r="P31" s="23"/>
      <c r="Q31" s="23"/>
      <c r="R31" s="23"/>
      <c r="S31" s="23"/>
      <c r="T31" s="23"/>
      <c r="U31" s="23"/>
      <c r="V31" s="23"/>
      <c r="W31" s="23"/>
      <c r="X31" s="23"/>
      <c r="Y31" s="23"/>
      <c r="Z31" s="23"/>
      <c r="AA31" s="23"/>
      <c r="AB31" s="23"/>
      <c r="AC31" s="23"/>
      <c r="AD31" s="23" t="s">
        <v>177</v>
      </c>
      <c r="AE31" s="23"/>
      <c r="AF31" s="24"/>
    </row>
    <row r="32" spans="1:32" s="17" customFormat="1" ht="13.5" customHeight="1" thickBot="1">
      <c r="A32" s="179"/>
      <c r="B32" s="227"/>
      <c r="C32" s="210" t="s">
        <v>140</v>
      </c>
      <c r="D32" s="210"/>
      <c r="E32" s="210"/>
      <c r="F32" s="210"/>
      <c r="G32" s="211"/>
      <c r="H32" s="22"/>
      <c r="I32" s="23"/>
      <c r="J32" s="23"/>
      <c r="K32" s="23"/>
      <c r="L32" s="23"/>
      <c r="M32" s="23"/>
      <c r="N32" s="23"/>
      <c r="O32" s="23"/>
      <c r="P32" s="23"/>
      <c r="Q32" s="23"/>
      <c r="R32" s="23"/>
      <c r="S32" s="23"/>
      <c r="T32" s="23"/>
      <c r="U32" s="23"/>
      <c r="V32" s="23"/>
      <c r="W32" s="23"/>
      <c r="X32" s="23"/>
      <c r="Y32" s="23"/>
      <c r="Z32" s="23"/>
      <c r="AA32" s="23"/>
      <c r="AB32" s="23"/>
      <c r="AC32" s="23"/>
      <c r="AD32" s="23"/>
      <c r="AE32" s="23" t="s">
        <v>177</v>
      </c>
      <c r="AF32" s="24"/>
    </row>
    <row r="33" spans="1:32" s="17" customFormat="1" ht="13.5" customHeight="1">
      <c r="A33" s="172" t="s">
        <v>89</v>
      </c>
      <c r="B33" s="175" t="s">
        <v>57</v>
      </c>
      <c r="C33" s="176"/>
      <c r="D33" s="176"/>
      <c r="E33" s="176"/>
      <c r="F33" s="176"/>
      <c r="G33" s="176"/>
      <c r="H33" s="25"/>
      <c r="I33" s="26"/>
      <c r="J33" s="26"/>
      <c r="K33" s="26"/>
      <c r="L33" s="26"/>
      <c r="M33" s="26"/>
      <c r="N33" s="26"/>
      <c r="O33" s="26"/>
      <c r="P33" s="26"/>
      <c r="Q33" s="26"/>
      <c r="R33" s="26"/>
      <c r="S33" s="26"/>
      <c r="T33" s="26"/>
      <c r="U33" s="26"/>
      <c r="V33" s="26"/>
      <c r="W33" s="26"/>
      <c r="X33" s="26"/>
      <c r="Y33" s="26"/>
      <c r="Z33" s="26"/>
      <c r="AA33" s="26"/>
      <c r="AB33" s="26"/>
      <c r="AC33" s="26"/>
      <c r="AD33" s="26"/>
      <c r="AE33" s="26"/>
      <c r="AF33" s="27"/>
    </row>
    <row r="34" spans="1:32" s="17" customFormat="1" ht="13.5" customHeight="1">
      <c r="A34" s="173"/>
      <c r="B34" s="212"/>
      <c r="C34" s="162" t="s">
        <v>141</v>
      </c>
      <c r="D34" s="163"/>
      <c r="E34" s="163"/>
      <c r="F34" s="163"/>
      <c r="G34" s="163"/>
      <c r="H34" s="22"/>
      <c r="I34" s="23"/>
      <c r="J34" s="23"/>
      <c r="K34" s="23"/>
      <c r="L34" s="23"/>
      <c r="M34" s="23"/>
      <c r="N34" s="23"/>
      <c r="O34" s="23"/>
      <c r="P34" s="23"/>
      <c r="Q34" s="23"/>
      <c r="R34" s="23"/>
      <c r="S34" s="23"/>
      <c r="T34" s="23"/>
      <c r="U34" s="23"/>
      <c r="V34" s="23"/>
      <c r="W34" s="23"/>
      <c r="X34" s="23"/>
      <c r="Y34" s="23"/>
      <c r="Z34" s="23"/>
      <c r="AA34" s="23"/>
      <c r="AB34" s="23"/>
      <c r="AC34" s="23"/>
      <c r="AD34" s="23"/>
      <c r="AE34" s="23"/>
      <c r="AF34" s="24"/>
    </row>
    <row r="35" spans="1:32" s="17" customFormat="1" ht="13.5" customHeight="1">
      <c r="A35" s="173"/>
      <c r="B35" s="212"/>
      <c r="C35" s="222"/>
      <c r="D35" s="162" t="s">
        <v>119</v>
      </c>
      <c r="E35" s="163"/>
      <c r="F35" s="163"/>
      <c r="G35" s="216"/>
      <c r="H35" s="22" t="s">
        <v>177</v>
      </c>
      <c r="I35" s="23" t="s">
        <v>177</v>
      </c>
      <c r="J35" s="23"/>
      <c r="K35" s="23" t="s">
        <v>177</v>
      </c>
      <c r="L35" s="23" t="s">
        <v>177</v>
      </c>
      <c r="M35" s="23" t="s">
        <v>177</v>
      </c>
      <c r="N35" s="23" t="s">
        <v>177</v>
      </c>
      <c r="O35" s="23" t="s">
        <v>177</v>
      </c>
      <c r="P35" s="23" t="s">
        <v>177</v>
      </c>
      <c r="Q35" s="23" t="s">
        <v>177</v>
      </c>
      <c r="R35" s="23" t="s">
        <v>177</v>
      </c>
      <c r="S35" s="23" t="s">
        <v>177</v>
      </c>
      <c r="T35" s="23" t="s">
        <v>177</v>
      </c>
      <c r="U35" s="23"/>
      <c r="V35" s="23"/>
      <c r="W35" s="23"/>
      <c r="X35" s="23"/>
      <c r="Y35" s="23" t="s">
        <v>177</v>
      </c>
      <c r="Z35" s="23"/>
      <c r="AA35" s="23"/>
      <c r="AB35" s="23"/>
      <c r="AC35" s="23"/>
      <c r="AD35" s="23"/>
      <c r="AE35" s="23"/>
      <c r="AF35" s="24"/>
    </row>
    <row r="36" spans="1:32" s="17" customFormat="1" ht="13.5" customHeight="1">
      <c r="A36" s="173"/>
      <c r="B36" s="212"/>
      <c r="C36" s="223"/>
      <c r="D36" s="163" t="s">
        <v>142</v>
      </c>
      <c r="E36" s="163"/>
      <c r="F36" s="163"/>
      <c r="G36" s="216"/>
      <c r="H36" s="22" t="s">
        <v>177</v>
      </c>
      <c r="I36" s="23" t="s">
        <v>177</v>
      </c>
      <c r="J36" s="23"/>
      <c r="K36" s="23" t="s">
        <v>177</v>
      </c>
      <c r="L36" s="23" t="s">
        <v>177</v>
      </c>
      <c r="M36" s="23" t="s">
        <v>177</v>
      </c>
      <c r="N36" s="23"/>
      <c r="O36" s="23"/>
      <c r="P36" s="23" t="s">
        <v>177</v>
      </c>
      <c r="Q36" s="23"/>
      <c r="R36" s="23"/>
      <c r="S36" s="23"/>
      <c r="T36" s="23" t="s">
        <v>177</v>
      </c>
      <c r="U36" s="23"/>
      <c r="V36" s="23"/>
      <c r="W36" s="23"/>
      <c r="X36" s="23"/>
      <c r="Y36" s="23" t="s">
        <v>177</v>
      </c>
      <c r="Z36" s="23"/>
      <c r="AA36" s="23"/>
      <c r="AB36" s="23"/>
      <c r="AC36" s="23"/>
      <c r="AD36" s="23"/>
      <c r="AE36" s="23"/>
      <c r="AF36" s="24"/>
    </row>
    <row r="37" spans="1:32" s="17" customFormat="1" ht="13.5" customHeight="1">
      <c r="A37" s="173"/>
      <c r="B37" s="212"/>
      <c r="C37" s="223"/>
      <c r="D37" s="163" t="s">
        <v>143</v>
      </c>
      <c r="E37" s="163"/>
      <c r="F37" s="163"/>
      <c r="G37" s="216"/>
      <c r="H37" s="22"/>
      <c r="I37" s="23"/>
      <c r="J37" s="23" t="s">
        <v>177</v>
      </c>
      <c r="K37" s="23"/>
      <c r="L37" s="23"/>
      <c r="M37" s="23"/>
      <c r="N37" s="23"/>
      <c r="O37" s="23"/>
      <c r="P37" s="23"/>
      <c r="Q37" s="23" t="s">
        <v>177</v>
      </c>
      <c r="R37" s="23" t="s">
        <v>177</v>
      </c>
      <c r="S37" s="23" t="s">
        <v>177</v>
      </c>
      <c r="T37" s="23"/>
      <c r="U37" s="23"/>
      <c r="V37" s="23"/>
      <c r="W37" s="23"/>
      <c r="X37" s="23"/>
      <c r="Y37" s="23"/>
      <c r="Z37" s="23"/>
      <c r="AA37" s="23"/>
      <c r="AB37" s="23"/>
      <c r="AC37" s="23"/>
      <c r="AD37" s="23"/>
      <c r="AE37" s="23"/>
      <c r="AF37" s="24"/>
    </row>
    <row r="38" spans="1:32" s="17" customFormat="1" ht="13.5" customHeight="1">
      <c r="A38" s="173"/>
      <c r="B38" s="212"/>
      <c r="C38" s="223"/>
      <c r="D38" s="163" t="s">
        <v>116</v>
      </c>
      <c r="E38" s="163"/>
      <c r="F38" s="163"/>
      <c r="G38" s="216"/>
      <c r="H38" s="22"/>
      <c r="I38" s="23"/>
      <c r="J38" s="23"/>
      <c r="K38" s="23"/>
      <c r="L38" s="23"/>
      <c r="M38" s="23"/>
      <c r="N38" s="23" t="s">
        <v>177</v>
      </c>
      <c r="O38" s="23" t="s">
        <v>177</v>
      </c>
      <c r="P38" s="23"/>
      <c r="Q38" s="23"/>
      <c r="R38" s="23"/>
      <c r="S38" s="23"/>
      <c r="T38" s="23"/>
      <c r="U38" s="23" t="s">
        <v>177</v>
      </c>
      <c r="V38" s="23" t="s">
        <v>177</v>
      </c>
      <c r="W38" s="23" t="s">
        <v>177</v>
      </c>
      <c r="X38" s="23" t="s">
        <v>177</v>
      </c>
      <c r="Y38" s="23"/>
      <c r="Z38" s="23"/>
      <c r="AA38" s="23"/>
      <c r="AB38" s="23"/>
      <c r="AC38" s="23"/>
      <c r="AD38" s="23"/>
      <c r="AE38" s="23"/>
      <c r="AF38" s="24"/>
    </row>
    <row r="39" spans="1:32" s="17" customFormat="1" ht="13.5" customHeight="1">
      <c r="A39" s="173"/>
      <c r="B39" s="212"/>
      <c r="C39" s="224"/>
      <c r="D39" s="163" t="s">
        <v>50</v>
      </c>
      <c r="E39" s="163"/>
      <c r="F39" s="163"/>
      <c r="G39" s="216"/>
      <c r="H39" s="22"/>
      <c r="I39" s="23"/>
      <c r="J39" s="23"/>
      <c r="K39" s="23"/>
      <c r="L39" s="23"/>
      <c r="M39" s="23"/>
      <c r="N39" s="23"/>
      <c r="O39" s="23"/>
      <c r="P39" s="23"/>
      <c r="Q39" s="23"/>
      <c r="R39" s="23"/>
      <c r="S39" s="23"/>
      <c r="T39" s="23"/>
      <c r="U39" s="23"/>
      <c r="V39" s="23"/>
      <c r="W39" s="23"/>
      <c r="X39" s="23"/>
      <c r="Y39" s="23"/>
      <c r="Z39" s="23"/>
      <c r="AA39" s="23"/>
      <c r="AB39" s="23" t="s">
        <v>177</v>
      </c>
      <c r="AC39" s="23" t="s">
        <v>177</v>
      </c>
      <c r="AD39" s="23" t="s">
        <v>177</v>
      </c>
      <c r="AE39" s="23"/>
      <c r="AF39" s="24"/>
    </row>
    <row r="40" spans="1:32" s="17" customFormat="1" ht="13.5" customHeight="1">
      <c r="A40" s="173"/>
      <c r="B40" s="212"/>
      <c r="C40" s="162" t="s">
        <v>147</v>
      </c>
      <c r="D40" s="163"/>
      <c r="E40" s="163"/>
      <c r="F40" s="163"/>
      <c r="G40" s="216"/>
      <c r="H40" s="22"/>
      <c r="I40" s="23"/>
      <c r="J40" s="23"/>
      <c r="K40" s="23"/>
      <c r="L40" s="23"/>
      <c r="M40" s="23"/>
      <c r="N40" s="23"/>
      <c r="O40" s="23"/>
      <c r="P40" s="23"/>
      <c r="Q40" s="23"/>
      <c r="R40" s="23"/>
      <c r="S40" s="23"/>
      <c r="T40" s="23"/>
      <c r="U40" s="23"/>
      <c r="V40" s="23"/>
      <c r="W40" s="23"/>
      <c r="X40" s="23"/>
      <c r="Y40" s="23"/>
      <c r="Z40" s="23"/>
      <c r="AA40" s="23"/>
      <c r="AB40" s="23"/>
      <c r="AC40" s="23"/>
      <c r="AD40" s="23"/>
      <c r="AE40" s="23"/>
      <c r="AF40" s="24"/>
    </row>
    <row r="41" spans="1:32" s="17" customFormat="1" ht="13.5" customHeight="1">
      <c r="A41" s="173"/>
      <c r="B41" s="212"/>
      <c r="C41" s="217"/>
      <c r="D41" s="163" t="s">
        <v>70</v>
      </c>
      <c r="E41" s="163"/>
      <c r="F41" s="163"/>
      <c r="G41" s="216"/>
      <c r="H41" s="22" t="s">
        <v>177</v>
      </c>
      <c r="I41" s="23" t="s">
        <v>177</v>
      </c>
      <c r="J41" s="23"/>
      <c r="K41" s="23" t="s">
        <v>177</v>
      </c>
      <c r="L41" s="23" t="s">
        <v>177</v>
      </c>
      <c r="M41" s="23" t="s">
        <v>177</v>
      </c>
      <c r="N41" s="23" t="s">
        <v>177</v>
      </c>
      <c r="O41" s="23" t="s">
        <v>177</v>
      </c>
      <c r="P41" s="23" t="s">
        <v>177</v>
      </c>
      <c r="Q41" s="23" t="s">
        <v>177</v>
      </c>
      <c r="R41" s="23" t="s">
        <v>177</v>
      </c>
      <c r="S41" s="23" t="s">
        <v>177</v>
      </c>
      <c r="T41" s="23" t="s">
        <v>177</v>
      </c>
      <c r="U41" s="23"/>
      <c r="V41" s="23"/>
      <c r="W41" s="23"/>
      <c r="X41" s="23"/>
      <c r="Y41" s="23" t="s">
        <v>177</v>
      </c>
      <c r="Z41" s="23"/>
      <c r="AA41" s="23"/>
      <c r="AB41" s="23"/>
      <c r="AC41" s="23"/>
      <c r="AD41" s="23"/>
      <c r="AE41" s="23"/>
      <c r="AF41" s="24"/>
    </row>
    <row r="42" spans="1:32" s="17" customFormat="1" ht="13.5" customHeight="1">
      <c r="A42" s="173"/>
      <c r="B42" s="212"/>
      <c r="C42" s="218"/>
      <c r="D42" s="163" t="s">
        <v>148</v>
      </c>
      <c r="E42" s="163"/>
      <c r="F42" s="163"/>
      <c r="G42" s="216"/>
      <c r="H42" s="22"/>
      <c r="I42" s="23"/>
      <c r="J42" s="23" t="s">
        <v>177</v>
      </c>
      <c r="K42" s="23"/>
      <c r="L42" s="23"/>
      <c r="M42" s="23"/>
      <c r="N42" s="23"/>
      <c r="O42" s="23"/>
      <c r="P42" s="23"/>
      <c r="Q42" s="23"/>
      <c r="R42" s="23"/>
      <c r="S42" s="23"/>
      <c r="T42" s="23"/>
      <c r="U42" s="23"/>
      <c r="V42" s="23"/>
      <c r="W42" s="23"/>
      <c r="X42" s="23"/>
      <c r="Y42" s="23"/>
      <c r="Z42" s="23"/>
      <c r="AA42" s="23"/>
      <c r="AB42" s="23"/>
      <c r="AC42" s="23"/>
      <c r="AD42" s="23"/>
      <c r="AE42" s="23"/>
      <c r="AF42" s="24"/>
    </row>
    <row r="43" spans="1:32" s="17" customFormat="1" ht="13.5" customHeight="1">
      <c r="A43" s="173"/>
      <c r="B43" s="212"/>
      <c r="C43" s="162" t="s">
        <v>144</v>
      </c>
      <c r="D43" s="163"/>
      <c r="E43" s="163"/>
      <c r="F43" s="163"/>
      <c r="G43" s="216"/>
      <c r="H43" s="22"/>
      <c r="I43" s="23"/>
      <c r="J43" s="23"/>
      <c r="K43" s="23"/>
      <c r="L43" s="23"/>
      <c r="M43" s="23"/>
      <c r="N43" s="23"/>
      <c r="O43" s="23"/>
      <c r="P43" s="23"/>
      <c r="Q43" s="23"/>
      <c r="R43" s="23"/>
      <c r="S43" s="23"/>
      <c r="T43" s="23"/>
      <c r="U43" s="23"/>
      <c r="V43" s="23"/>
      <c r="W43" s="23"/>
      <c r="X43" s="23"/>
      <c r="Y43" s="23"/>
      <c r="Z43" s="23"/>
      <c r="AA43" s="23"/>
      <c r="AB43" s="23"/>
      <c r="AC43" s="23"/>
      <c r="AD43" s="23"/>
      <c r="AE43" s="23"/>
      <c r="AF43" s="24"/>
    </row>
    <row r="44" spans="1:32" s="17" customFormat="1" ht="13.5" customHeight="1">
      <c r="A44" s="173"/>
      <c r="B44" s="212"/>
      <c r="C44" s="95"/>
      <c r="D44" s="163" t="s">
        <v>145</v>
      </c>
      <c r="E44" s="163"/>
      <c r="F44" s="163"/>
      <c r="G44" s="216"/>
      <c r="H44" s="23" t="s">
        <v>177</v>
      </c>
      <c r="I44" s="23" t="s">
        <v>177</v>
      </c>
      <c r="J44" s="23" t="s">
        <v>177</v>
      </c>
      <c r="K44" s="23" t="s">
        <v>177</v>
      </c>
      <c r="L44" s="23" t="s">
        <v>177</v>
      </c>
      <c r="M44" s="23" t="s">
        <v>177</v>
      </c>
      <c r="N44" s="23" t="s">
        <v>177</v>
      </c>
      <c r="O44" s="23" t="s">
        <v>177</v>
      </c>
      <c r="P44" s="23" t="s">
        <v>177</v>
      </c>
      <c r="Q44" s="23" t="s">
        <v>177</v>
      </c>
      <c r="R44" s="23" t="s">
        <v>177</v>
      </c>
      <c r="S44" s="23" t="s">
        <v>177</v>
      </c>
      <c r="T44" s="23" t="s">
        <v>177</v>
      </c>
      <c r="U44" s="23" t="s">
        <v>177</v>
      </c>
      <c r="V44" s="23" t="s">
        <v>177</v>
      </c>
      <c r="W44" s="23" t="s">
        <v>177</v>
      </c>
      <c r="X44" s="23" t="s">
        <v>177</v>
      </c>
      <c r="Y44" s="23" t="s">
        <v>177</v>
      </c>
      <c r="Z44" s="23" t="s">
        <v>177</v>
      </c>
      <c r="AA44" s="23" t="s">
        <v>177</v>
      </c>
      <c r="AB44" s="23" t="s">
        <v>177</v>
      </c>
      <c r="AC44" s="23" t="s">
        <v>177</v>
      </c>
      <c r="AD44" s="23" t="s">
        <v>177</v>
      </c>
      <c r="AE44" s="23"/>
      <c r="AF44" s="24"/>
    </row>
    <row r="45" spans="1:32" s="17" customFormat="1" ht="13.5" customHeight="1">
      <c r="A45" s="173"/>
      <c r="B45" s="212"/>
      <c r="C45" s="162" t="s">
        <v>135</v>
      </c>
      <c r="D45" s="163"/>
      <c r="E45" s="163"/>
      <c r="F45" s="163"/>
      <c r="G45" s="216"/>
      <c r="H45" s="22"/>
      <c r="I45" s="23"/>
      <c r="J45" s="23"/>
      <c r="K45" s="23"/>
      <c r="L45" s="23"/>
      <c r="M45" s="23"/>
      <c r="N45" s="23"/>
      <c r="O45" s="23"/>
      <c r="P45" s="23"/>
      <c r="Q45" s="23"/>
      <c r="R45" s="23"/>
      <c r="S45" s="23"/>
      <c r="T45" s="23"/>
      <c r="U45" s="23"/>
      <c r="V45" s="23"/>
      <c r="W45" s="23"/>
      <c r="X45" s="23"/>
      <c r="Y45" s="23"/>
      <c r="Z45" s="23"/>
      <c r="AA45" s="23"/>
      <c r="AB45" s="23"/>
      <c r="AC45" s="23"/>
      <c r="AD45" s="23"/>
      <c r="AE45" s="23"/>
      <c r="AF45" s="24"/>
    </row>
    <row r="46" spans="1:32" s="17" customFormat="1" ht="13.5" customHeight="1">
      <c r="A46" s="173"/>
      <c r="B46" s="212"/>
      <c r="C46" s="217"/>
      <c r="D46" s="163" t="s">
        <v>146</v>
      </c>
      <c r="E46" s="163"/>
      <c r="F46" s="163"/>
      <c r="G46" s="216"/>
      <c r="H46" s="22"/>
      <c r="I46" s="23"/>
      <c r="J46" s="23"/>
      <c r="K46" s="23"/>
      <c r="L46" s="23"/>
      <c r="M46" s="23"/>
      <c r="N46" s="23"/>
      <c r="O46" s="23"/>
      <c r="P46" s="23"/>
      <c r="Q46" s="23"/>
      <c r="R46" s="23"/>
      <c r="S46" s="23"/>
      <c r="T46" s="23"/>
      <c r="U46" s="23"/>
      <c r="V46" s="23"/>
      <c r="W46" s="23"/>
      <c r="X46" s="23"/>
      <c r="Y46" s="23"/>
      <c r="Z46" s="23" t="s">
        <v>177</v>
      </c>
      <c r="AA46" s="23"/>
      <c r="AB46" s="23"/>
      <c r="AC46" s="23"/>
      <c r="AD46" s="23"/>
      <c r="AE46" s="23"/>
      <c r="AF46" s="24"/>
    </row>
    <row r="47" spans="1:32" s="17" customFormat="1" ht="13.5" customHeight="1">
      <c r="A47" s="173"/>
      <c r="B47" s="212"/>
      <c r="C47" s="218"/>
      <c r="D47" s="163" t="s">
        <v>80</v>
      </c>
      <c r="E47" s="163"/>
      <c r="F47" s="163"/>
      <c r="G47" s="216"/>
      <c r="H47" s="22"/>
      <c r="I47" s="23"/>
      <c r="J47" s="23"/>
      <c r="K47" s="23"/>
      <c r="L47" s="23"/>
      <c r="M47" s="23"/>
      <c r="N47" s="23"/>
      <c r="O47" s="23"/>
      <c r="P47" s="23"/>
      <c r="Q47" s="23"/>
      <c r="R47" s="23"/>
      <c r="S47" s="23"/>
      <c r="T47" s="23"/>
      <c r="U47" s="23"/>
      <c r="V47" s="23"/>
      <c r="W47" s="23"/>
      <c r="X47" s="23"/>
      <c r="Y47" s="23"/>
      <c r="Z47" s="23" t="s">
        <v>177</v>
      </c>
      <c r="AA47" s="23"/>
      <c r="AB47" s="23"/>
      <c r="AC47" s="23"/>
      <c r="AD47" s="23"/>
      <c r="AE47" s="23"/>
      <c r="AF47" s="24"/>
    </row>
    <row r="48" spans="1:32" s="17" customFormat="1" ht="13.5" customHeight="1">
      <c r="A48" s="173"/>
      <c r="B48" s="212"/>
      <c r="C48" s="162" t="s">
        <v>136</v>
      </c>
      <c r="D48" s="163"/>
      <c r="E48" s="163"/>
      <c r="F48" s="163"/>
      <c r="G48" s="163"/>
      <c r="H48" s="22"/>
      <c r="I48" s="23"/>
      <c r="J48" s="23"/>
      <c r="K48" s="23"/>
      <c r="L48" s="23"/>
      <c r="M48" s="23"/>
      <c r="N48" s="23"/>
      <c r="O48" s="23"/>
      <c r="P48" s="23"/>
      <c r="Q48" s="23"/>
      <c r="R48" s="23"/>
      <c r="S48" s="23"/>
      <c r="T48" s="23"/>
      <c r="U48" s="23"/>
      <c r="V48" s="23"/>
      <c r="W48" s="23"/>
      <c r="X48" s="23"/>
      <c r="Y48" s="23"/>
      <c r="Z48" s="23"/>
      <c r="AA48" s="23"/>
      <c r="AB48" s="23"/>
      <c r="AC48" s="23"/>
      <c r="AD48" s="23"/>
      <c r="AE48" s="23"/>
      <c r="AF48" s="24"/>
    </row>
    <row r="49" spans="1:32" s="17" customFormat="1" ht="13.5" customHeight="1">
      <c r="A49" s="173"/>
      <c r="B49" s="212"/>
      <c r="C49" s="95"/>
      <c r="D49" s="163" t="s">
        <v>146</v>
      </c>
      <c r="E49" s="163"/>
      <c r="F49" s="163"/>
      <c r="G49" s="216"/>
      <c r="H49" s="22"/>
      <c r="I49" s="23"/>
      <c r="J49" s="23"/>
      <c r="K49" s="23"/>
      <c r="L49" s="23"/>
      <c r="M49" s="23"/>
      <c r="N49" s="23"/>
      <c r="O49" s="23"/>
      <c r="P49" s="23"/>
      <c r="Q49" s="23"/>
      <c r="R49" s="23"/>
      <c r="S49" s="23"/>
      <c r="T49" s="23"/>
      <c r="U49" s="23"/>
      <c r="V49" s="23"/>
      <c r="W49" s="23"/>
      <c r="X49" s="23"/>
      <c r="Y49" s="23"/>
      <c r="Z49" s="23"/>
      <c r="AA49" s="23" t="s">
        <v>177</v>
      </c>
      <c r="AB49" s="23"/>
      <c r="AC49" s="23"/>
      <c r="AD49" s="23"/>
      <c r="AE49" s="23"/>
      <c r="AF49" s="24"/>
    </row>
    <row r="50" spans="1:32" s="17" customFormat="1" ht="13.5" customHeight="1" thickBot="1">
      <c r="A50" s="173"/>
      <c r="B50" s="212"/>
      <c r="C50" s="162" t="s">
        <v>121</v>
      </c>
      <c r="D50" s="163"/>
      <c r="E50" s="163"/>
      <c r="F50" s="163"/>
      <c r="G50" s="216"/>
      <c r="H50" s="22"/>
      <c r="I50" s="23"/>
      <c r="J50" s="23"/>
      <c r="K50" s="23"/>
      <c r="L50" s="23"/>
      <c r="M50" s="23"/>
      <c r="N50" s="23"/>
      <c r="O50" s="23"/>
      <c r="P50" s="23"/>
      <c r="Q50" s="23"/>
      <c r="R50" s="23"/>
      <c r="S50" s="23"/>
      <c r="T50" s="23"/>
      <c r="U50" s="23"/>
      <c r="V50" s="23"/>
      <c r="W50" s="23"/>
      <c r="X50" s="23"/>
      <c r="Y50" s="23"/>
      <c r="Z50" s="23"/>
      <c r="AA50" s="23"/>
      <c r="AB50" s="23"/>
      <c r="AC50" s="23"/>
      <c r="AD50" s="23"/>
      <c r="AE50" s="23" t="s">
        <v>177</v>
      </c>
      <c r="AF50" s="24"/>
    </row>
    <row r="51" spans="1:32" s="17" customFormat="1" ht="24" customHeight="1">
      <c r="A51" s="164" t="s">
        <v>94</v>
      </c>
      <c r="B51" s="166"/>
      <c r="C51" s="167"/>
      <c r="D51" s="214"/>
      <c r="E51" s="214"/>
      <c r="F51" s="215"/>
      <c r="G51" s="39" t="s">
        <v>95</v>
      </c>
      <c r="H51" s="36" t="s">
        <v>51</v>
      </c>
      <c r="I51" s="37" t="s">
        <v>52</v>
      </c>
      <c r="J51" s="37" t="s">
        <v>52</v>
      </c>
      <c r="K51" s="37" t="s">
        <v>52</v>
      </c>
      <c r="L51" s="37" t="s">
        <v>52</v>
      </c>
      <c r="M51" s="37" t="s">
        <v>52</v>
      </c>
      <c r="N51" s="37" t="s">
        <v>51</v>
      </c>
      <c r="O51" s="37" t="s">
        <v>51</v>
      </c>
      <c r="P51" s="37" t="s">
        <v>52</v>
      </c>
      <c r="Q51" s="37" t="s">
        <v>51</v>
      </c>
      <c r="R51" s="37" t="s">
        <v>51</v>
      </c>
      <c r="S51" s="37" t="s">
        <v>51</v>
      </c>
      <c r="T51" s="37" t="s">
        <v>52</v>
      </c>
      <c r="U51" s="37" t="s">
        <v>51</v>
      </c>
      <c r="V51" s="37" t="s">
        <v>51</v>
      </c>
      <c r="W51" s="37" t="s">
        <v>51</v>
      </c>
      <c r="X51" s="37" t="s">
        <v>51</v>
      </c>
      <c r="Y51" s="37" t="s">
        <v>52</v>
      </c>
      <c r="Z51" s="37" t="s">
        <v>52</v>
      </c>
      <c r="AA51" s="37" t="s">
        <v>52</v>
      </c>
      <c r="AB51" s="37" t="s">
        <v>52</v>
      </c>
      <c r="AC51" s="37" t="s">
        <v>52</v>
      </c>
      <c r="AD51" s="37" t="s">
        <v>52</v>
      </c>
      <c r="AE51" s="37" t="s">
        <v>53</v>
      </c>
      <c r="AF51" s="38"/>
    </row>
    <row r="52" spans="1:32" s="17" customFormat="1" ht="27" customHeight="1">
      <c r="A52" s="165"/>
      <c r="B52" s="169"/>
      <c r="C52" s="170"/>
      <c r="D52" s="170"/>
      <c r="E52" s="170"/>
      <c r="F52" s="171"/>
      <c r="G52" s="39" t="s">
        <v>96</v>
      </c>
      <c r="H52" s="40" t="s">
        <v>176</v>
      </c>
      <c r="I52" s="40" t="s">
        <v>176</v>
      </c>
      <c r="J52" s="40" t="s">
        <v>176</v>
      </c>
      <c r="K52" s="40" t="s">
        <v>176</v>
      </c>
      <c r="L52" s="40" t="s">
        <v>176</v>
      </c>
      <c r="M52" s="40" t="s">
        <v>176</v>
      </c>
      <c r="N52" s="40" t="s">
        <v>176</v>
      </c>
      <c r="O52" s="40" t="s">
        <v>176</v>
      </c>
      <c r="P52" s="40" t="s">
        <v>176</v>
      </c>
      <c r="Q52" s="40" t="s">
        <v>176</v>
      </c>
      <c r="R52" s="40" t="s">
        <v>176</v>
      </c>
      <c r="S52" s="40" t="s">
        <v>176</v>
      </c>
      <c r="T52" s="40" t="s">
        <v>176</v>
      </c>
      <c r="U52" s="40" t="s">
        <v>176</v>
      </c>
      <c r="V52" s="40" t="s">
        <v>176</v>
      </c>
      <c r="W52" s="40" t="s">
        <v>176</v>
      </c>
      <c r="X52" s="40" t="s">
        <v>176</v>
      </c>
      <c r="Y52" s="40" t="s">
        <v>176</v>
      </c>
      <c r="Z52" s="40" t="s">
        <v>176</v>
      </c>
      <c r="AA52" s="40" t="s">
        <v>176</v>
      </c>
      <c r="AB52" s="40" t="s">
        <v>176</v>
      </c>
      <c r="AC52" s="40" t="s">
        <v>176</v>
      </c>
      <c r="AD52" s="40" t="s">
        <v>176</v>
      </c>
      <c r="AE52" s="40" t="s">
        <v>176</v>
      </c>
      <c r="AF52" s="42"/>
    </row>
    <row r="53" spans="1:32" s="17" customFormat="1" ht="27" customHeight="1">
      <c r="A53" s="165"/>
      <c r="B53" s="169"/>
      <c r="C53" s="170"/>
      <c r="D53" s="170"/>
      <c r="E53" s="170"/>
      <c r="F53" s="171"/>
      <c r="G53" s="39" t="s">
        <v>97</v>
      </c>
      <c r="H53" s="43">
        <v>43703</v>
      </c>
      <c r="I53" s="43">
        <v>43703</v>
      </c>
      <c r="J53" s="43">
        <v>43703</v>
      </c>
      <c r="K53" s="43">
        <v>43703</v>
      </c>
      <c r="L53" s="43">
        <v>43703</v>
      </c>
      <c r="M53" s="43">
        <v>43703</v>
      </c>
      <c r="N53" s="43">
        <v>43703</v>
      </c>
      <c r="O53" s="43">
        <v>43703</v>
      </c>
      <c r="P53" s="43">
        <v>43703</v>
      </c>
      <c r="Q53" s="43">
        <v>43703</v>
      </c>
      <c r="R53" s="43">
        <v>43703</v>
      </c>
      <c r="S53" s="43">
        <v>43703</v>
      </c>
      <c r="T53" s="43">
        <v>43703</v>
      </c>
      <c r="U53" s="43">
        <v>43703</v>
      </c>
      <c r="V53" s="43">
        <v>43703</v>
      </c>
      <c r="W53" s="43">
        <v>43703</v>
      </c>
      <c r="X53" s="43">
        <v>43703</v>
      </c>
      <c r="Y53" s="43">
        <v>43703</v>
      </c>
      <c r="Z53" s="43">
        <v>43703</v>
      </c>
      <c r="AA53" s="43">
        <v>43703</v>
      </c>
      <c r="AB53" s="43">
        <v>43703</v>
      </c>
      <c r="AC53" s="43">
        <v>43703</v>
      </c>
      <c r="AD53" s="43">
        <v>43703</v>
      </c>
      <c r="AE53" s="43">
        <v>43703</v>
      </c>
      <c r="AF53" s="45"/>
    </row>
    <row r="54" spans="1:32" s="17" customFormat="1" ht="24.75" customHeight="1">
      <c r="A54" s="165"/>
      <c r="B54" s="169"/>
      <c r="C54" s="170"/>
      <c r="D54" s="170"/>
      <c r="E54" s="170"/>
      <c r="F54" s="171"/>
      <c r="G54" s="93" t="s">
        <v>98</v>
      </c>
      <c r="H54" s="40" t="s">
        <v>157</v>
      </c>
      <c r="I54" s="40" t="s">
        <v>157</v>
      </c>
      <c r="J54" s="40" t="s">
        <v>157</v>
      </c>
      <c r="K54" s="40" t="s">
        <v>157</v>
      </c>
      <c r="L54" s="40" t="s">
        <v>157</v>
      </c>
      <c r="M54" s="40" t="s">
        <v>157</v>
      </c>
      <c r="N54" s="40" t="s">
        <v>157</v>
      </c>
      <c r="O54" s="40" t="s">
        <v>157</v>
      </c>
      <c r="P54" s="40" t="s">
        <v>157</v>
      </c>
      <c r="Q54" s="40" t="s">
        <v>157</v>
      </c>
      <c r="R54" s="40" t="s">
        <v>157</v>
      </c>
      <c r="S54" s="40" t="s">
        <v>157</v>
      </c>
      <c r="T54" s="40" t="s">
        <v>157</v>
      </c>
      <c r="U54" s="40" t="s">
        <v>157</v>
      </c>
      <c r="V54" s="40" t="s">
        <v>157</v>
      </c>
      <c r="W54" s="40" t="s">
        <v>157</v>
      </c>
      <c r="X54" s="40" t="s">
        <v>157</v>
      </c>
      <c r="Y54" s="40" t="s">
        <v>157</v>
      </c>
      <c r="Z54" s="40" t="s">
        <v>157</v>
      </c>
      <c r="AA54" s="40" t="s">
        <v>157</v>
      </c>
      <c r="AB54" s="40" t="s">
        <v>157</v>
      </c>
      <c r="AC54" s="40" t="s">
        <v>157</v>
      </c>
      <c r="AD54" s="40" t="s">
        <v>157</v>
      </c>
      <c r="AE54" s="40" t="s">
        <v>157</v>
      </c>
      <c r="AF54" s="42"/>
    </row>
    <row r="55" spans="1:32" s="17" customFormat="1" ht="24.75" customHeight="1">
      <c r="A55" s="204" t="s">
        <v>99</v>
      </c>
      <c r="B55" s="206" t="s">
        <v>100</v>
      </c>
      <c r="C55" s="206"/>
      <c r="D55" s="206"/>
      <c r="E55" s="206"/>
      <c r="F55" s="207"/>
      <c r="G55" s="208"/>
      <c r="H55" s="60"/>
      <c r="I55" s="94"/>
      <c r="J55" s="94"/>
      <c r="K55" s="94"/>
      <c r="L55" s="94"/>
      <c r="M55" s="94"/>
      <c r="N55" s="94"/>
      <c r="O55" s="94"/>
      <c r="P55" s="94"/>
      <c r="Q55" s="94"/>
      <c r="R55" s="94"/>
      <c r="S55" s="94"/>
      <c r="T55" s="94"/>
      <c r="U55" s="94"/>
      <c r="V55" s="94"/>
      <c r="W55" s="94"/>
      <c r="X55" s="94"/>
      <c r="Y55" s="94"/>
      <c r="Z55" s="94"/>
      <c r="AA55" s="94"/>
      <c r="AB55" s="94"/>
      <c r="AC55" s="94"/>
      <c r="AD55" s="94"/>
      <c r="AE55" s="94"/>
      <c r="AF55" s="54"/>
    </row>
    <row r="56" spans="1:32" s="17" customFormat="1" ht="36" customHeight="1" thickBot="1">
      <c r="A56" s="205"/>
      <c r="B56" s="192" t="s">
        <v>101</v>
      </c>
      <c r="C56" s="193"/>
      <c r="D56" s="193"/>
      <c r="E56" s="194"/>
      <c r="F56" s="192"/>
      <c r="G56" s="209"/>
      <c r="H56" s="61"/>
      <c r="I56" s="55"/>
      <c r="J56" s="55"/>
      <c r="K56" s="55"/>
      <c r="L56" s="55"/>
      <c r="M56" s="55"/>
      <c r="N56" s="55"/>
      <c r="O56" s="55"/>
      <c r="P56" s="55"/>
      <c r="Q56" s="55"/>
      <c r="R56" s="55"/>
      <c r="S56" s="55" t="str">
        <f t="shared" ref="S56:AF56" si="1">IF(S55="","",(SUM(LEN(S55)-LEN(SUBSTITUTE(S55,",","")))/LEN(",")) + 1 )</f>
        <v/>
      </c>
      <c r="T56" s="55" t="str">
        <f t="shared" si="1"/>
        <v/>
      </c>
      <c r="U56" s="55" t="str">
        <f t="shared" si="1"/>
        <v/>
      </c>
      <c r="V56" s="55" t="str">
        <f t="shared" si="1"/>
        <v/>
      </c>
      <c r="W56" s="55" t="str">
        <f t="shared" si="1"/>
        <v/>
      </c>
      <c r="X56" s="55" t="str">
        <f t="shared" si="1"/>
        <v/>
      </c>
      <c r="Y56" s="55" t="str">
        <f t="shared" si="1"/>
        <v/>
      </c>
      <c r="Z56" s="55" t="str">
        <f t="shared" si="1"/>
        <v/>
      </c>
      <c r="AA56" s="55" t="str">
        <f t="shared" si="1"/>
        <v/>
      </c>
      <c r="AB56" s="55" t="str">
        <f t="shared" si="1"/>
        <v/>
      </c>
      <c r="AC56" s="55" t="str">
        <f t="shared" si="1"/>
        <v/>
      </c>
      <c r="AD56" s="55" t="str">
        <f t="shared" si="1"/>
        <v/>
      </c>
      <c r="AE56" s="55" t="str">
        <f t="shared" si="1"/>
        <v/>
      </c>
      <c r="AF56" s="56" t="str">
        <f t="shared" si="1"/>
        <v/>
      </c>
    </row>
    <row r="57" spans="1:32" s="17" customFormat="1">
      <c r="H57" s="47"/>
      <c r="I57" s="47"/>
      <c r="J57" s="47"/>
      <c r="K57" s="47"/>
      <c r="L57" s="47"/>
      <c r="M57" s="47"/>
      <c r="N57" s="48"/>
      <c r="O57" s="49"/>
      <c r="P57" s="47"/>
      <c r="Q57" s="47"/>
      <c r="R57" s="47"/>
      <c r="S57" s="47"/>
      <c r="T57" s="47"/>
      <c r="U57" s="47"/>
      <c r="V57" s="47"/>
    </row>
  </sheetData>
  <sheetProtection insertRows="0"/>
  <protectedRanges>
    <protectedRange sqref="H51:AF51 H55:AF55 AF52:AF54" name="Range3_1_1"/>
    <protectedRange sqref="H4:AF50" name="Range2_1_1"/>
    <protectedRange sqref="B4:G32" name="Range2_1_2"/>
    <protectedRange sqref="C45:G47 B45:B50 B33:G44" name="Range2_1_3"/>
    <protectedRange sqref="C48:G49" name="Range2_1_8"/>
    <protectedRange sqref="C50:G50" name="Range2_1_8_1"/>
    <protectedRange sqref="B1:O1 P2 T1 AC1:AF1 B2:E2" name="Range1_1_1"/>
    <protectedRange sqref="P2 AC2:AF2" name="Range1_1_1_1"/>
    <protectedRange sqref="H52:AE54" name="Range3_1_1_1"/>
  </protectedRanges>
  <mergeCells count="80">
    <mergeCell ref="D42:G42"/>
    <mergeCell ref="C41:C42"/>
    <mergeCell ref="B6:B32"/>
    <mergeCell ref="C7:G7"/>
    <mergeCell ref="C6:G6"/>
    <mergeCell ref="C30:C31"/>
    <mergeCell ref="D30:G30"/>
    <mergeCell ref="D31:G31"/>
    <mergeCell ref="C32:G32"/>
    <mergeCell ref="D25:G25"/>
    <mergeCell ref="D26:G26"/>
    <mergeCell ref="C27:G27"/>
    <mergeCell ref="C28:G28"/>
    <mergeCell ref="C29:G29"/>
    <mergeCell ref="D13:G13"/>
    <mergeCell ref="D14:G14"/>
    <mergeCell ref="C15:G15"/>
    <mergeCell ref="B34:B50"/>
    <mergeCell ref="D36:G36"/>
    <mergeCell ref="D37:G37"/>
    <mergeCell ref="D38:G38"/>
    <mergeCell ref="C43:G43"/>
    <mergeCell ref="D44:G44"/>
    <mergeCell ref="D39:G39"/>
    <mergeCell ref="D47:G47"/>
    <mergeCell ref="C48:G48"/>
    <mergeCell ref="D49:G49"/>
    <mergeCell ref="C50:G50"/>
    <mergeCell ref="C35:C39"/>
    <mergeCell ref="D35:G35"/>
    <mergeCell ref="C40:G40"/>
    <mergeCell ref="D41:G41"/>
    <mergeCell ref="A33:A50"/>
    <mergeCell ref="B33:G33"/>
    <mergeCell ref="C34:G34"/>
    <mergeCell ref="C9:G9"/>
    <mergeCell ref="C10:G10"/>
    <mergeCell ref="C11:G11"/>
    <mergeCell ref="C45:G45"/>
    <mergeCell ref="C46:C47"/>
    <mergeCell ref="D46:G46"/>
    <mergeCell ref="A4:A32"/>
    <mergeCell ref="B4:G4"/>
    <mergeCell ref="B5:G5"/>
    <mergeCell ref="C8:G8"/>
    <mergeCell ref="C20:G20"/>
    <mergeCell ref="C12:G12"/>
    <mergeCell ref="C13:C14"/>
    <mergeCell ref="AA2:AB2"/>
    <mergeCell ref="AA1:AB1"/>
    <mergeCell ref="AC1:AF1"/>
    <mergeCell ref="AC2:AF2"/>
    <mergeCell ref="T1:Z1"/>
    <mergeCell ref="B1:E1"/>
    <mergeCell ref="F1:O1"/>
    <mergeCell ref="B2:E2"/>
    <mergeCell ref="I2:O2"/>
    <mergeCell ref="P1:S1"/>
    <mergeCell ref="F2:H2"/>
    <mergeCell ref="P2:Z2"/>
    <mergeCell ref="A51:A54"/>
    <mergeCell ref="B51:F51"/>
    <mergeCell ref="B52:F52"/>
    <mergeCell ref="B53:F53"/>
    <mergeCell ref="A55:A56"/>
    <mergeCell ref="B55:E55"/>
    <mergeCell ref="F55:G55"/>
    <mergeCell ref="B56:E56"/>
    <mergeCell ref="F56:G56"/>
    <mergeCell ref="B54:F54"/>
    <mergeCell ref="C16:G16"/>
    <mergeCell ref="C17:C19"/>
    <mergeCell ref="D17:G17"/>
    <mergeCell ref="D18:G18"/>
    <mergeCell ref="D19:G19"/>
    <mergeCell ref="C21:G21"/>
    <mergeCell ref="C22:C26"/>
    <mergeCell ref="D22:G22"/>
    <mergeCell ref="D23:G23"/>
    <mergeCell ref="D24:G24"/>
  </mergeCells>
  <phoneticPr fontId="3"/>
  <conditionalFormatting sqref="H52:AE54">
    <cfRule type="expression" dxfId="38" priority="1" stopIfTrue="1">
      <formula>H$94="NA"</formula>
    </cfRule>
    <cfRule type="expression" dxfId="37" priority="2" stopIfTrue="1">
      <formula>H$94="NG"</formula>
    </cfRule>
  </conditionalFormatting>
  <conditionalFormatting sqref="H3:AF56">
    <cfRule type="expression" dxfId="36" priority="23" stopIfTrue="1">
      <formula>H$54="NA"</formula>
    </cfRule>
    <cfRule type="expression" dxfId="35" priority="24" stopIfTrue="1">
      <formula>H$54="NG"</formula>
    </cfRule>
  </conditionalFormatting>
  <dataValidations count="10">
    <dataValidation type="list" allowBlank="1" showInputMessage="1" showErrorMessage="1" sqref="H51:AF51">
      <formula1>"N, A, B"</formula1>
    </dataValidation>
    <dataValidation type="list" allowBlank="1" showInputMessage="1" showErrorMessage="1" sqref="H54:AF54">
      <formula1>"OK, NG, NA, PT"</formula1>
    </dataValidation>
    <dataValidation allowBlank="1" showInputMessage="1" showErrorMessage="1" promptTitle="PCL sheet name" prompt=" " sqref="F55:G55"/>
    <dataValidation allowBlank="1" showInputMessage="1" showErrorMessage="1" promptTitle="Bug ID" prompt="Unique ID throughout the project._x000a_For every Bug found during Test as well as Re-Test, a new Bug ID needs to be entered here (as a comma seperated value)" sqref="B55:E55"/>
    <dataValidation allowBlank="1" showInputMessage="1" showErrorMessage="1" promptTitle="Test Result" prompt="OK : Result is OK      _x000a_NG : Result is not as expected_x000a_NA : Not Applicable      _x000a_PT : Testing Pending (as Data not available/ cannot be generated currently)" sqref="G54"/>
    <dataValidation allowBlank="1" showInputMessage="1" showErrorMessage="1" promptTitle="Testing Date" prompt="Date on which test was performed in yyyy/mm/dd format" sqref="G53"/>
    <dataValidation allowBlank="1" showInputMessage="1" showErrorMessage="1" promptTitle="Enter" prompt="Name of the person who performed the test" sqref="G52"/>
    <dataValidation allowBlank="1" showInputMessage="1" showErrorMessage="1" promptTitle="Condition Type" prompt="N : Normal _x000a_A : Abnormal _x000a_B : Boundary" sqref="G51"/>
    <dataValidation allowBlank="1" showInputMessage="1" showErrorMessage="1" promptTitle="Check points" prompt="that need / need not be executed" sqref="A33:A50"/>
    <dataValidation allowBlank="1" showInputMessage="1" showErrorMessage="1" promptTitle="Input conditions" prompt="that need to be checked." sqref="A4:A32"/>
  </dataValidations>
  <printOptions horizontalCentered="1"/>
  <pageMargins left="0.55118110236220474" right="0.46" top="0.98425196850393704" bottom="0.98425196850393704" header="0.51181102362204722" footer="0.51181102362204722"/>
  <pageSetup paperSize="9" scale="66" orientation="portrait" r:id="rId1"/>
  <headerFooter alignWithMargins="0">
    <oddHeader>&amp;LUKS-FMT-GBL-211-02.03&amp;C&amp;F:&amp;A&amp;R&amp;"Arial,Regular"&amp;10UKS-REC-XXX-XXX</oddHeader>
    <oddFooter>&amp;L&amp;"Arial,Regular"&amp;10Unikaihatsu Software Pvt.Ltd.&amp;C&amp;10This document is uncontrolled after printed.&amp;R&amp;"Arial,Regular"&amp;10Page &amp;P of &amp;N</oddFooter>
  </headerFooter>
  <drawing r:id="rId2"/>
  <legacyDrawing r:id="rId3"/>
</worksheet>
</file>

<file path=xl/worksheets/sheet5.xml><?xml version="1.0" encoding="utf-8"?>
<worksheet xmlns="http://schemas.openxmlformats.org/spreadsheetml/2006/main" xmlns:r="http://schemas.openxmlformats.org/officeDocument/2006/relationships">
  <sheetPr codeName="Sheet3"/>
  <dimension ref="A1:AF98"/>
  <sheetViews>
    <sheetView tabSelected="1" view="pageBreakPreview" zoomScale="90" zoomScaleNormal="70" zoomScaleSheetLayoutView="90" workbookViewId="0">
      <pane xSplit="7" ySplit="3" topLeftCell="H75" activePane="bottomRight" state="frozen"/>
      <selection activeCell="A5" sqref="A5"/>
      <selection pane="topRight" activeCell="A5" sqref="A5"/>
      <selection pane="bottomLeft" activeCell="A5" sqref="A5"/>
      <selection pane="bottomRight" activeCell="J88" sqref="J88"/>
    </sheetView>
  </sheetViews>
  <sheetFormatPr defaultColWidth="3.625" defaultRowHeight="12"/>
  <cols>
    <col min="1" max="1" width="9.75" style="9" customWidth="1"/>
    <col min="2" max="3" width="2.625" style="9" customWidth="1"/>
    <col min="4" max="5" width="2.625" style="50" customWidth="1"/>
    <col min="6" max="7" width="15.625" style="50" customWidth="1"/>
    <col min="8" max="22" width="3.625" style="51" customWidth="1"/>
    <col min="23" max="16384" width="3.625" style="1"/>
  </cols>
  <sheetData>
    <row r="1" spans="1:32" ht="20.100000000000001" customHeight="1">
      <c r="A1" s="63" t="s">
        <v>60</v>
      </c>
      <c r="B1" s="186" t="s">
        <v>172</v>
      </c>
      <c r="C1" s="187"/>
      <c r="D1" s="187"/>
      <c r="E1" s="188"/>
      <c r="F1" s="186" t="s">
        <v>191</v>
      </c>
      <c r="G1" s="187"/>
      <c r="H1" s="187"/>
      <c r="I1" s="187"/>
      <c r="J1" s="187"/>
      <c r="K1" s="187"/>
      <c r="L1" s="187"/>
      <c r="M1" s="187"/>
      <c r="N1" s="187"/>
      <c r="O1" s="188"/>
      <c r="P1" s="195" t="s">
        <v>61</v>
      </c>
      <c r="Q1" s="196"/>
      <c r="R1" s="196"/>
      <c r="S1" s="197"/>
      <c r="T1" s="186" t="s">
        <v>174</v>
      </c>
      <c r="U1" s="187"/>
      <c r="V1" s="187"/>
      <c r="W1" s="187"/>
      <c r="X1" s="187"/>
      <c r="Y1" s="187"/>
      <c r="Z1" s="188"/>
      <c r="AA1" s="198" t="s">
        <v>62</v>
      </c>
      <c r="AB1" s="198"/>
      <c r="AC1" s="199">
        <v>43703</v>
      </c>
      <c r="AD1" s="199"/>
      <c r="AE1" s="199"/>
      <c r="AF1" s="200"/>
    </row>
    <row r="2" spans="1:32" ht="20.100000000000001" customHeight="1" thickBot="1">
      <c r="A2" s="64" t="s">
        <v>63</v>
      </c>
      <c r="B2" s="189" t="s">
        <v>168</v>
      </c>
      <c r="C2" s="190"/>
      <c r="D2" s="190"/>
      <c r="E2" s="191"/>
      <c r="F2" s="189" t="s">
        <v>173</v>
      </c>
      <c r="G2" s="190"/>
      <c r="H2" s="191"/>
      <c r="I2" s="192" t="s">
        <v>54</v>
      </c>
      <c r="J2" s="193"/>
      <c r="K2" s="193"/>
      <c r="L2" s="193"/>
      <c r="M2" s="193"/>
      <c r="N2" s="193"/>
      <c r="O2" s="194"/>
      <c r="P2" s="189"/>
      <c r="Q2" s="190"/>
      <c r="R2" s="190"/>
      <c r="S2" s="190"/>
      <c r="T2" s="190"/>
      <c r="U2" s="190"/>
      <c r="V2" s="190"/>
      <c r="W2" s="190"/>
      <c r="X2" s="190"/>
      <c r="Y2" s="190"/>
      <c r="Z2" s="191"/>
      <c r="AA2" s="201" t="s">
        <v>128</v>
      </c>
      <c r="AB2" s="202"/>
      <c r="AC2" s="189" t="s">
        <v>111</v>
      </c>
      <c r="AD2" s="190"/>
      <c r="AE2" s="190"/>
      <c r="AF2" s="203"/>
    </row>
    <row r="3" spans="1:32" ht="37.5" customHeight="1" thickBot="1">
      <c r="A3" s="66" t="s">
        <v>64</v>
      </c>
      <c r="B3" s="10"/>
      <c r="C3" s="10"/>
      <c r="D3" s="10"/>
      <c r="E3" s="10"/>
      <c r="F3" s="10"/>
      <c r="G3" s="65" t="s">
        <v>65</v>
      </c>
      <c r="H3" s="11">
        <f>IF(COUNTA(H4:H92)&gt;0,1,"")</f>
        <v>1</v>
      </c>
      <c r="I3" s="12">
        <f t="shared" ref="I3:AF3" si="0">IF(COUNTA(I4:I92)&gt;0,IF(H3&gt;0,H3+1,""),"")</f>
        <v>2</v>
      </c>
      <c r="J3" s="12">
        <f t="shared" si="0"/>
        <v>3</v>
      </c>
      <c r="K3" s="12">
        <f t="shared" si="0"/>
        <v>4</v>
      </c>
      <c r="L3" s="12">
        <f t="shared" si="0"/>
        <v>5</v>
      </c>
      <c r="M3" s="12">
        <f t="shared" si="0"/>
        <v>6</v>
      </c>
      <c r="N3" s="12">
        <f t="shared" si="0"/>
        <v>7</v>
      </c>
      <c r="O3" s="12">
        <f t="shared" si="0"/>
        <v>8</v>
      </c>
      <c r="P3" s="12">
        <f t="shared" si="0"/>
        <v>9</v>
      </c>
      <c r="Q3" s="12">
        <f t="shared" si="0"/>
        <v>10</v>
      </c>
      <c r="R3" s="12">
        <f t="shared" si="0"/>
        <v>11</v>
      </c>
      <c r="S3" s="12">
        <f t="shared" si="0"/>
        <v>12</v>
      </c>
      <c r="T3" s="12">
        <f t="shared" si="0"/>
        <v>13</v>
      </c>
      <c r="U3" s="12">
        <f t="shared" si="0"/>
        <v>14</v>
      </c>
      <c r="V3" s="12">
        <f t="shared" si="0"/>
        <v>15</v>
      </c>
      <c r="W3" s="12">
        <f t="shared" si="0"/>
        <v>16</v>
      </c>
      <c r="X3" s="12">
        <f t="shared" si="0"/>
        <v>17</v>
      </c>
      <c r="Y3" s="12">
        <f t="shared" si="0"/>
        <v>18</v>
      </c>
      <c r="Z3" s="12">
        <f t="shared" si="0"/>
        <v>19</v>
      </c>
      <c r="AA3" s="12">
        <f t="shared" si="0"/>
        <v>20</v>
      </c>
      <c r="AB3" s="12">
        <f t="shared" si="0"/>
        <v>21</v>
      </c>
      <c r="AC3" s="12">
        <f t="shared" si="0"/>
        <v>22</v>
      </c>
      <c r="AD3" s="12" t="str">
        <f t="shared" si="0"/>
        <v/>
      </c>
      <c r="AE3" s="12" t="str">
        <f t="shared" si="0"/>
        <v/>
      </c>
      <c r="AF3" s="13" t="str">
        <f t="shared" si="0"/>
        <v/>
      </c>
    </row>
    <row r="4" spans="1:32" s="17" customFormat="1" ht="13.5" customHeight="1">
      <c r="A4" s="178" t="s">
        <v>66</v>
      </c>
      <c r="B4" s="260" t="s">
        <v>114</v>
      </c>
      <c r="C4" s="261"/>
      <c r="D4" s="261"/>
      <c r="E4" s="261"/>
      <c r="F4" s="261"/>
      <c r="G4" s="262"/>
      <c r="H4" s="14"/>
      <c r="I4" s="15"/>
      <c r="J4" s="15"/>
      <c r="K4" s="15"/>
      <c r="L4" s="15"/>
      <c r="M4" s="15"/>
      <c r="N4" s="15"/>
      <c r="O4" s="15"/>
      <c r="P4" s="15"/>
      <c r="Q4" s="15"/>
      <c r="R4" s="15"/>
      <c r="S4" s="15"/>
      <c r="T4" s="15"/>
      <c r="U4" s="15"/>
      <c r="V4" s="15"/>
      <c r="W4" s="15"/>
      <c r="X4" s="15"/>
      <c r="Y4" s="15"/>
      <c r="Z4" s="15"/>
      <c r="AA4" s="15"/>
      <c r="AB4" s="15"/>
      <c r="AC4" s="15"/>
      <c r="AD4" s="15"/>
      <c r="AE4" s="15"/>
      <c r="AF4" s="16"/>
    </row>
    <row r="5" spans="1:32" s="17" customFormat="1" ht="13.5" customHeight="1">
      <c r="A5" s="179"/>
      <c r="B5" s="210" t="s">
        <v>54</v>
      </c>
      <c r="C5" s="263"/>
      <c r="D5" s="263"/>
      <c r="E5" s="263"/>
      <c r="F5" s="263"/>
      <c r="G5" s="264"/>
      <c r="H5" s="18" t="s">
        <v>178</v>
      </c>
      <c r="I5" s="99" t="s">
        <v>178</v>
      </c>
      <c r="J5" s="99" t="s">
        <v>178</v>
      </c>
      <c r="K5" s="99" t="s">
        <v>178</v>
      </c>
      <c r="L5" s="99" t="s">
        <v>178</v>
      </c>
      <c r="M5" s="99" t="s">
        <v>178</v>
      </c>
      <c r="N5" s="99" t="s">
        <v>178</v>
      </c>
      <c r="O5" s="99" t="s">
        <v>178</v>
      </c>
      <c r="P5" s="99" t="s">
        <v>178</v>
      </c>
      <c r="Q5" s="99" t="s">
        <v>178</v>
      </c>
      <c r="R5" s="99" t="s">
        <v>178</v>
      </c>
      <c r="S5" s="99" t="s">
        <v>178</v>
      </c>
      <c r="T5" s="99" t="s">
        <v>178</v>
      </c>
      <c r="U5" s="99" t="s">
        <v>178</v>
      </c>
      <c r="V5" s="99" t="s">
        <v>178</v>
      </c>
      <c r="W5" s="99" t="s">
        <v>178</v>
      </c>
      <c r="X5" s="99" t="s">
        <v>178</v>
      </c>
      <c r="Y5" s="99" t="s">
        <v>178</v>
      </c>
      <c r="Z5" s="99" t="s">
        <v>178</v>
      </c>
      <c r="AA5" s="99" t="s">
        <v>178</v>
      </c>
      <c r="AB5" s="99" t="s">
        <v>178</v>
      </c>
      <c r="AC5" s="99" t="s">
        <v>178</v>
      </c>
      <c r="AD5" s="90"/>
      <c r="AE5" s="90"/>
      <c r="AF5" s="90"/>
    </row>
    <row r="6" spans="1:32" s="17" customFormat="1" ht="13.5" customHeight="1">
      <c r="A6" s="179"/>
      <c r="B6" s="237"/>
      <c r="C6" s="210" t="s">
        <v>179</v>
      </c>
      <c r="D6" s="210"/>
      <c r="E6" s="210"/>
      <c r="F6" s="210"/>
      <c r="G6" s="180"/>
      <c r="H6" s="18"/>
      <c r="I6" s="90"/>
      <c r="J6" s="90"/>
      <c r="K6" s="90"/>
      <c r="L6" s="90"/>
      <c r="M6" s="90"/>
      <c r="N6" s="90"/>
      <c r="O6" s="90"/>
      <c r="P6" s="90"/>
      <c r="Q6" s="90"/>
      <c r="R6" s="90"/>
      <c r="S6" s="90"/>
      <c r="T6" s="90"/>
      <c r="U6" s="90"/>
      <c r="V6" s="90"/>
      <c r="W6" s="90"/>
      <c r="X6" s="90"/>
      <c r="Y6" s="90"/>
      <c r="Z6" s="90"/>
      <c r="AA6" s="90"/>
      <c r="AB6" s="90"/>
      <c r="AC6" s="90"/>
      <c r="AD6" s="90"/>
      <c r="AE6" s="90"/>
      <c r="AF6" s="20"/>
    </row>
    <row r="7" spans="1:32" s="17" customFormat="1" ht="13.5" customHeight="1">
      <c r="A7" s="179"/>
      <c r="B7" s="184"/>
      <c r="C7" s="184"/>
      <c r="D7" s="237"/>
      <c r="E7" s="210" t="s">
        <v>70</v>
      </c>
      <c r="F7" s="210"/>
      <c r="G7" s="180"/>
      <c r="H7" s="18" t="s">
        <v>178</v>
      </c>
      <c r="I7" s="90"/>
      <c r="J7" s="90"/>
      <c r="K7" s="90"/>
      <c r="L7" s="90"/>
      <c r="M7" s="90"/>
      <c r="N7" s="90"/>
      <c r="O7" s="90"/>
      <c r="P7" s="90"/>
      <c r="Q7" s="90"/>
      <c r="R7" s="90"/>
      <c r="S7" s="90"/>
      <c r="T7" s="90"/>
      <c r="U7" s="90"/>
      <c r="V7" s="90"/>
      <c r="W7" s="90"/>
      <c r="X7" s="90"/>
      <c r="Y7" s="90"/>
      <c r="Z7" s="90"/>
      <c r="AA7" s="90"/>
      <c r="AB7" s="90"/>
      <c r="AC7" s="90"/>
      <c r="AD7" s="90"/>
      <c r="AE7" s="90"/>
      <c r="AF7" s="20"/>
    </row>
    <row r="8" spans="1:32" s="17" customFormat="1" ht="13.5" customHeight="1">
      <c r="A8" s="179"/>
      <c r="B8" s="184"/>
      <c r="C8" s="184"/>
      <c r="D8" s="184"/>
      <c r="E8" s="210" t="s">
        <v>182</v>
      </c>
      <c r="F8" s="210"/>
      <c r="G8" s="180"/>
      <c r="H8" s="18"/>
      <c r="I8" s="99" t="s">
        <v>178</v>
      </c>
      <c r="J8" s="90"/>
      <c r="K8" s="90"/>
      <c r="L8" s="90"/>
      <c r="M8" s="90"/>
      <c r="N8" s="90"/>
      <c r="O8" s="90"/>
      <c r="P8" s="90"/>
      <c r="Q8" s="90"/>
      <c r="R8" s="90"/>
      <c r="S8" s="90"/>
      <c r="T8" s="90"/>
      <c r="U8" s="90"/>
      <c r="V8" s="90"/>
      <c r="W8" s="90"/>
      <c r="X8" s="90"/>
      <c r="Y8" s="90"/>
      <c r="Z8" s="90"/>
      <c r="AA8" s="90"/>
      <c r="AB8" s="90"/>
      <c r="AC8" s="90"/>
      <c r="AD8" s="90"/>
      <c r="AE8" s="90"/>
      <c r="AF8" s="20"/>
    </row>
    <row r="9" spans="1:32" s="17" customFormat="1" ht="13.5" customHeight="1">
      <c r="A9" s="179"/>
      <c r="B9" s="184"/>
      <c r="C9" s="238"/>
      <c r="D9" s="238"/>
      <c r="E9" s="180" t="s">
        <v>183</v>
      </c>
      <c r="F9" s="183"/>
      <c r="G9" s="221"/>
      <c r="H9" s="18"/>
      <c r="I9" s="90"/>
      <c r="J9" s="99" t="s">
        <v>178</v>
      </c>
      <c r="K9" s="99" t="s">
        <v>178</v>
      </c>
      <c r="L9" s="99" t="s">
        <v>178</v>
      </c>
      <c r="M9" s="99" t="s">
        <v>178</v>
      </c>
      <c r="N9" s="99" t="s">
        <v>178</v>
      </c>
      <c r="O9" s="99" t="s">
        <v>178</v>
      </c>
      <c r="P9" s="99" t="s">
        <v>178</v>
      </c>
      <c r="Q9" s="99" t="s">
        <v>178</v>
      </c>
      <c r="R9" s="99" t="s">
        <v>178</v>
      </c>
      <c r="S9" s="99" t="s">
        <v>178</v>
      </c>
      <c r="T9" s="99" t="s">
        <v>178</v>
      </c>
      <c r="U9" s="99" t="s">
        <v>178</v>
      </c>
      <c r="V9" s="99" t="s">
        <v>178</v>
      </c>
      <c r="W9" s="99" t="s">
        <v>178</v>
      </c>
      <c r="X9" s="99" t="s">
        <v>178</v>
      </c>
      <c r="Y9" s="99" t="s">
        <v>178</v>
      </c>
      <c r="Z9" s="99" t="s">
        <v>178</v>
      </c>
      <c r="AA9" s="99" t="s">
        <v>178</v>
      </c>
      <c r="AB9" s="99" t="s">
        <v>178</v>
      </c>
      <c r="AC9" s="90"/>
      <c r="AD9" s="90"/>
      <c r="AE9" s="90"/>
      <c r="AF9" s="90"/>
    </row>
    <row r="10" spans="1:32" s="17" customFormat="1" ht="13.5" customHeight="1">
      <c r="A10" s="179"/>
      <c r="B10" s="184"/>
      <c r="C10" s="180" t="s">
        <v>73</v>
      </c>
      <c r="D10" s="183"/>
      <c r="E10" s="183"/>
      <c r="F10" s="183"/>
      <c r="G10" s="221"/>
      <c r="H10" s="18"/>
      <c r="I10" s="90"/>
      <c r="J10" s="90"/>
      <c r="K10" s="90"/>
      <c r="L10" s="90"/>
      <c r="M10" s="90"/>
      <c r="N10" s="90"/>
      <c r="O10" s="90"/>
      <c r="P10" s="90"/>
      <c r="Q10" s="90"/>
      <c r="R10" s="90"/>
      <c r="S10" s="90"/>
      <c r="T10" s="90"/>
      <c r="U10" s="90"/>
      <c r="V10" s="90"/>
      <c r="W10" s="90"/>
      <c r="X10" s="90"/>
      <c r="Y10" s="90"/>
      <c r="Z10" s="90"/>
      <c r="AA10" s="90"/>
      <c r="AB10" s="90"/>
      <c r="AC10" s="90"/>
      <c r="AD10" s="90"/>
      <c r="AE10" s="90"/>
      <c r="AF10" s="20"/>
    </row>
    <row r="11" spans="1:32" s="17" customFormat="1" ht="13.5" customHeight="1">
      <c r="A11" s="179"/>
      <c r="B11" s="184"/>
      <c r="C11" s="184"/>
      <c r="D11" s="237"/>
      <c r="E11" s="210" t="s">
        <v>70</v>
      </c>
      <c r="F11" s="210"/>
      <c r="G11" s="180"/>
      <c r="H11" s="18" t="s">
        <v>178</v>
      </c>
      <c r="I11" s="99" t="s">
        <v>178</v>
      </c>
      <c r="J11" s="99" t="s">
        <v>178</v>
      </c>
      <c r="K11" s="90"/>
      <c r="L11" s="90"/>
      <c r="M11" s="90"/>
      <c r="N11" s="90"/>
      <c r="O11" s="90"/>
      <c r="P11" s="90"/>
      <c r="Q11" s="90"/>
      <c r="R11" s="90"/>
      <c r="S11" s="90"/>
      <c r="T11" s="90"/>
      <c r="U11" s="90"/>
      <c r="V11" s="90"/>
      <c r="W11" s="90"/>
      <c r="X11" s="90"/>
      <c r="Y11" s="90"/>
      <c r="Z11" s="90"/>
      <c r="AA11" s="90"/>
      <c r="AB11" s="90"/>
      <c r="AC11" s="90"/>
      <c r="AD11" s="90"/>
      <c r="AE11" s="90"/>
      <c r="AF11" s="20"/>
    </row>
    <row r="12" spans="1:32" s="17" customFormat="1" ht="13.5" customHeight="1">
      <c r="A12" s="179"/>
      <c r="B12" s="184"/>
      <c r="C12" s="184"/>
      <c r="D12" s="184"/>
      <c r="E12" s="210" t="s">
        <v>153</v>
      </c>
      <c r="F12" s="210"/>
      <c r="G12" s="180"/>
      <c r="H12" s="18"/>
      <c r="I12" s="90"/>
      <c r="J12" s="90"/>
      <c r="K12" s="99" t="s">
        <v>178</v>
      </c>
      <c r="L12" s="90"/>
      <c r="M12" s="90"/>
      <c r="N12" s="90"/>
      <c r="O12" s="90"/>
      <c r="P12" s="90"/>
      <c r="Q12" s="90"/>
      <c r="R12" s="90"/>
      <c r="S12" s="90"/>
      <c r="T12" s="90"/>
      <c r="U12" s="90"/>
      <c r="V12" s="90"/>
      <c r="W12" s="90"/>
      <c r="X12" s="90"/>
      <c r="Y12" s="90"/>
      <c r="Z12" s="90"/>
      <c r="AA12" s="90"/>
      <c r="AB12" s="90"/>
      <c r="AC12" s="90"/>
      <c r="AD12" s="90"/>
      <c r="AE12" s="90"/>
      <c r="AF12" s="20"/>
    </row>
    <row r="13" spans="1:32" s="17" customFormat="1" ht="13.5" customHeight="1">
      <c r="A13" s="179"/>
      <c r="B13" s="184"/>
      <c r="C13" s="184"/>
      <c r="D13" s="184"/>
      <c r="E13" s="242">
        <v>1234</v>
      </c>
      <c r="F13" s="243"/>
      <c r="G13" s="244"/>
      <c r="H13" s="18"/>
      <c r="I13" s="90"/>
      <c r="J13" s="90"/>
      <c r="K13" s="90"/>
      <c r="L13" s="99" t="s">
        <v>178</v>
      </c>
      <c r="M13" s="90" t="s">
        <v>58</v>
      </c>
      <c r="N13" s="90" t="s">
        <v>58</v>
      </c>
      <c r="O13" s="90"/>
      <c r="P13" s="90"/>
      <c r="Q13" s="90"/>
      <c r="R13" s="90"/>
      <c r="S13" s="90"/>
      <c r="T13" s="90"/>
      <c r="U13" s="90"/>
      <c r="V13" s="90"/>
      <c r="W13" s="90"/>
      <c r="X13" s="90"/>
      <c r="Y13" s="90"/>
      <c r="Z13" s="90"/>
      <c r="AA13" s="90"/>
      <c r="AB13" s="90"/>
      <c r="AC13" s="90"/>
      <c r="AD13" s="90"/>
      <c r="AE13" s="90"/>
      <c r="AF13" s="20"/>
    </row>
    <row r="14" spans="1:32" s="17" customFormat="1" ht="13.5" customHeight="1">
      <c r="A14" s="179"/>
      <c r="B14" s="184"/>
      <c r="C14" s="238"/>
      <c r="D14" s="238"/>
      <c r="E14" s="245" t="s">
        <v>184</v>
      </c>
      <c r="F14" s="210"/>
      <c r="G14" s="180"/>
      <c r="H14" s="18"/>
      <c r="I14" s="90"/>
      <c r="J14" s="90"/>
      <c r="K14" s="90"/>
      <c r="L14" s="90"/>
      <c r="M14" s="99" t="s">
        <v>177</v>
      </c>
      <c r="N14" s="99" t="s">
        <v>177</v>
      </c>
      <c r="O14" s="99" t="s">
        <v>177</v>
      </c>
      <c r="P14" s="99" t="s">
        <v>177</v>
      </c>
      <c r="Q14" s="99" t="s">
        <v>177</v>
      </c>
      <c r="R14" s="99" t="s">
        <v>177</v>
      </c>
      <c r="S14" s="99" t="s">
        <v>177</v>
      </c>
      <c r="T14" s="99" t="s">
        <v>177</v>
      </c>
      <c r="U14" s="99" t="s">
        <v>177</v>
      </c>
      <c r="V14" s="99" t="s">
        <v>177</v>
      </c>
      <c r="W14" s="99" t="s">
        <v>177</v>
      </c>
      <c r="X14" s="99" t="s">
        <v>177</v>
      </c>
      <c r="Y14" s="99" t="s">
        <v>177</v>
      </c>
      <c r="Z14" s="99" t="s">
        <v>177</v>
      </c>
      <c r="AA14" s="99" t="s">
        <v>177</v>
      </c>
      <c r="AB14" s="99" t="s">
        <v>178</v>
      </c>
      <c r="AC14" s="90"/>
      <c r="AD14" s="90"/>
      <c r="AE14" s="90"/>
      <c r="AF14" s="90"/>
    </row>
    <row r="15" spans="1:32" s="17" customFormat="1" ht="13.5" customHeight="1">
      <c r="A15" s="179"/>
      <c r="B15" s="184"/>
      <c r="C15" s="210" t="s">
        <v>67</v>
      </c>
      <c r="D15" s="210"/>
      <c r="E15" s="210"/>
      <c r="F15" s="210"/>
      <c r="G15" s="180"/>
      <c r="H15" s="18"/>
      <c r="I15" s="90"/>
      <c r="J15" s="90"/>
      <c r="K15" s="90"/>
      <c r="L15" s="90"/>
      <c r="M15" s="90"/>
      <c r="N15" s="90"/>
      <c r="O15" s="90"/>
      <c r="P15" s="90"/>
      <c r="Q15" s="90"/>
      <c r="R15" s="90"/>
      <c r="S15" s="90"/>
      <c r="T15" s="90"/>
      <c r="U15" s="90"/>
      <c r="V15" s="90"/>
      <c r="W15" s="90"/>
      <c r="X15" s="90"/>
      <c r="Y15" s="90"/>
      <c r="Z15" s="90"/>
      <c r="AA15" s="90"/>
      <c r="AB15" s="90"/>
      <c r="AC15" s="90"/>
      <c r="AD15" s="90"/>
      <c r="AE15" s="90"/>
      <c r="AF15" s="20"/>
    </row>
    <row r="16" spans="1:32" s="17" customFormat="1" ht="13.5" customHeight="1">
      <c r="A16" s="179"/>
      <c r="B16" s="184"/>
      <c r="C16" s="212"/>
      <c r="D16" s="180" t="s">
        <v>154</v>
      </c>
      <c r="E16" s="183"/>
      <c r="F16" s="183"/>
      <c r="G16" s="221"/>
      <c r="H16" s="18" t="s">
        <v>178</v>
      </c>
      <c r="I16" s="99" t="s">
        <v>178</v>
      </c>
      <c r="J16" s="99" t="s">
        <v>178</v>
      </c>
      <c r="K16" s="99" t="s">
        <v>178</v>
      </c>
      <c r="L16" s="99" t="s">
        <v>178</v>
      </c>
      <c r="M16" s="99" t="s">
        <v>178</v>
      </c>
      <c r="N16" s="90"/>
      <c r="O16" s="90"/>
      <c r="P16" s="90"/>
      <c r="Q16" s="90"/>
      <c r="R16" s="90"/>
      <c r="S16" s="90"/>
      <c r="T16" s="90"/>
      <c r="U16" s="90"/>
      <c r="V16" s="90"/>
      <c r="W16" s="90"/>
      <c r="X16" s="90"/>
      <c r="Y16" s="90"/>
      <c r="AA16" s="99" t="s">
        <v>178</v>
      </c>
      <c r="AB16" s="99" t="s">
        <v>178</v>
      </c>
      <c r="AC16" s="90"/>
      <c r="AD16" s="90"/>
      <c r="AE16" s="90"/>
      <c r="AF16" s="20"/>
    </row>
    <row r="17" spans="1:32" s="17" customFormat="1" ht="13.5" customHeight="1">
      <c r="A17" s="179"/>
      <c r="B17" s="184"/>
      <c r="C17" s="212"/>
      <c r="D17" s="210" t="s">
        <v>68</v>
      </c>
      <c r="E17" s="210"/>
      <c r="F17" s="210"/>
      <c r="G17" s="180"/>
      <c r="H17" s="18"/>
      <c r="I17" s="90"/>
      <c r="J17" s="90"/>
      <c r="K17" s="90"/>
      <c r="L17" s="90"/>
      <c r="M17" s="90"/>
      <c r="N17" s="99" t="s">
        <v>178</v>
      </c>
      <c r="O17" s="99" t="s">
        <v>178</v>
      </c>
      <c r="P17" s="99" t="s">
        <v>178</v>
      </c>
      <c r="Q17" s="99" t="s">
        <v>178</v>
      </c>
      <c r="R17" s="99" t="s">
        <v>178</v>
      </c>
      <c r="S17" s="99" t="s">
        <v>178</v>
      </c>
      <c r="T17" s="99" t="s">
        <v>178</v>
      </c>
      <c r="U17" s="99" t="s">
        <v>178</v>
      </c>
      <c r="V17" s="99" t="s">
        <v>178</v>
      </c>
      <c r="W17" s="99" t="s">
        <v>178</v>
      </c>
      <c r="X17" s="99" t="s">
        <v>178</v>
      </c>
      <c r="Y17" s="99" t="s">
        <v>178</v>
      </c>
      <c r="Z17" s="99" t="s">
        <v>178</v>
      </c>
      <c r="AA17" s="90"/>
      <c r="AB17" s="90"/>
      <c r="AC17" s="90"/>
      <c r="AD17" s="90"/>
      <c r="AE17" s="90"/>
      <c r="AF17" s="90"/>
    </row>
    <row r="18" spans="1:32" s="17" customFormat="1" ht="13.5" customHeight="1">
      <c r="A18" s="179"/>
      <c r="B18" s="184"/>
      <c r="C18" s="210" t="s">
        <v>69</v>
      </c>
      <c r="D18" s="210"/>
      <c r="E18" s="210"/>
      <c r="F18" s="210"/>
      <c r="G18" s="180"/>
      <c r="H18" s="18"/>
      <c r="I18" s="90"/>
      <c r="J18" s="90"/>
      <c r="K18" s="90"/>
      <c r="L18" s="90"/>
      <c r="M18" s="90"/>
      <c r="N18" s="90"/>
      <c r="O18" s="90"/>
      <c r="P18" s="90"/>
      <c r="Q18" s="90"/>
      <c r="R18" s="90"/>
      <c r="S18" s="90"/>
      <c r="T18" s="90"/>
      <c r="U18" s="90"/>
      <c r="V18" s="90"/>
      <c r="W18" s="90"/>
      <c r="X18" s="90"/>
      <c r="Y18" s="90"/>
      <c r="Z18" s="90"/>
      <c r="AA18" s="90"/>
      <c r="AB18" s="90"/>
      <c r="AC18" s="90"/>
      <c r="AD18" s="90"/>
      <c r="AE18" s="90"/>
      <c r="AF18" s="20"/>
    </row>
    <row r="19" spans="1:32" s="17" customFormat="1" ht="13.5" customHeight="1">
      <c r="A19" s="179"/>
      <c r="B19" s="184"/>
      <c r="C19" s="212"/>
      <c r="D19" s="247"/>
      <c r="E19" s="246" t="s">
        <v>70</v>
      </c>
      <c r="F19" s="246"/>
      <c r="G19" s="242"/>
      <c r="H19" s="18" t="s">
        <v>178</v>
      </c>
      <c r="I19" s="99" t="s">
        <v>178</v>
      </c>
      <c r="J19" s="99" t="s">
        <v>178</v>
      </c>
      <c r="K19" s="99" t="s">
        <v>178</v>
      </c>
      <c r="L19" s="99" t="s">
        <v>178</v>
      </c>
      <c r="M19" s="99" t="s">
        <v>178</v>
      </c>
      <c r="N19" s="99" t="s">
        <v>178</v>
      </c>
      <c r="O19" s="90"/>
      <c r="P19" s="90"/>
      <c r="Q19" s="90"/>
      <c r="R19" s="90"/>
      <c r="S19" s="90"/>
      <c r="T19" s="90"/>
      <c r="U19" s="90"/>
      <c r="V19" s="90"/>
      <c r="W19" s="90"/>
      <c r="X19" s="90"/>
      <c r="Y19" s="90"/>
      <c r="Z19" s="90"/>
      <c r="AA19" s="90"/>
      <c r="AB19" s="90"/>
      <c r="AC19" s="90"/>
      <c r="AD19" s="90"/>
      <c r="AE19" s="90"/>
      <c r="AF19" s="20"/>
    </row>
    <row r="20" spans="1:32" s="17" customFormat="1" ht="13.5" customHeight="1">
      <c r="A20" s="179"/>
      <c r="B20" s="184"/>
      <c r="C20" s="212"/>
      <c r="D20" s="248"/>
      <c r="E20" s="236" t="s">
        <v>164</v>
      </c>
      <c r="F20" s="210"/>
      <c r="G20" s="180"/>
      <c r="H20" s="18"/>
      <c r="I20" s="90"/>
      <c r="J20" s="90"/>
      <c r="K20" s="90"/>
      <c r="L20" s="90"/>
      <c r="M20" s="90"/>
      <c r="N20" s="90"/>
      <c r="O20" s="99" t="s">
        <v>178</v>
      </c>
      <c r="P20" s="99" t="s">
        <v>178</v>
      </c>
      <c r="Q20" s="99" t="s">
        <v>178</v>
      </c>
      <c r="R20" s="99" t="s">
        <v>178</v>
      </c>
      <c r="S20" s="99" t="s">
        <v>178</v>
      </c>
      <c r="T20" s="99" t="s">
        <v>178</v>
      </c>
      <c r="U20" s="99" t="s">
        <v>178</v>
      </c>
      <c r="V20" s="99" t="s">
        <v>178</v>
      </c>
      <c r="W20" s="99" t="s">
        <v>178</v>
      </c>
      <c r="X20" s="99" t="s">
        <v>178</v>
      </c>
      <c r="Y20" s="99" t="s">
        <v>178</v>
      </c>
      <c r="Z20" s="99" t="s">
        <v>178</v>
      </c>
      <c r="AA20" s="99" t="s">
        <v>178</v>
      </c>
      <c r="AB20" s="99" t="s">
        <v>178</v>
      </c>
      <c r="AC20" s="90"/>
      <c r="AD20" s="90"/>
      <c r="AE20" s="90"/>
      <c r="AF20" s="90"/>
    </row>
    <row r="21" spans="1:32" s="17" customFormat="1" ht="13.5" customHeight="1">
      <c r="A21" s="179"/>
      <c r="B21" s="184"/>
      <c r="C21" s="210" t="s">
        <v>71</v>
      </c>
      <c r="D21" s="210"/>
      <c r="E21" s="210"/>
      <c r="F21" s="210"/>
      <c r="G21" s="180"/>
      <c r="H21" s="18"/>
      <c r="I21" s="90"/>
      <c r="J21" s="90"/>
      <c r="K21" s="90"/>
      <c r="L21" s="90"/>
      <c r="M21" s="90"/>
      <c r="N21" s="90"/>
      <c r="O21" s="90"/>
      <c r="P21" s="90"/>
      <c r="Q21" s="90"/>
      <c r="R21" s="90"/>
      <c r="S21" s="90"/>
      <c r="T21" s="90"/>
      <c r="U21" s="90"/>
      <c r="V21" s="90"/>
      <c r="W21" s="90"/>
      <c r="X21" s="90"/>
      <c r="Y21" s="90"/>
      <c r="Z21" s="90"/>
      <c r="AA21" s="90"/>
      <c r="AB21" s="90"/>
      <c r="AC21" s="90"/>
      <c r="AD21" s="90"/>
      <c r="AE21" s="90"/>
      <c r="AF21" s="20"/>
    </row>
    <row r="22" spans="1:32" s="17" customFormat="1" ht="13.5" customHeight="1">
      <c r="A22" s="179"/>
      <c r="B22" s="184"/>
      <c r="C22" s="212"/>
      <c r="D22" s="206"/>
      <c r="E22" s="246" t="s">
        <v>70</v>
      </c>
      <c r="F22" s="246"/>
      <c r="G22" s="242"/>
      <c r="H22" s="18" t="s">
        <v>178</v>
      </c>
      <c r="I22" s="99" t="s">
        <v>178</v>
      </c>
      <c r="J22" s="99" t="s">
        <v>178</v>
      </c>
      <c r="K22" s="99" t="s">
        <v>178</v>
      </c>
      <c r="L22" s="99" t="s">
        <v>178</v>
      </c>
      <c r="M22" s="99" t="s">
        <v>178</v>
      </c>
      <c r="N22" s="99" t="s">
        <v>178</v>
      </c>
      <c r="O22" s="90"/>
      <c r="P22" s="90"/>
      <c r="Q22" s="90"/>
      <c r="R22" s="90"/>
      <c r="S22" s="90"/>
      <c r="T22" s="90"/>
      <c r="U22" s="90"/>
      <c r="V22" s="90"/>
      <c r="W22" s="90"/>
      <c r="X22" s="90"/>
      <c r="Y22" s="90"/>
      <c r="Z22" s="90"/>
      <c r="AA22" s="99" t="s">
        <v>178</v>
      </c>
      <c r="AB22" s="90"/>
      <c r="AC22" s="90"/>
      <c r="AD22" s="90"/>
      <c r="AE22" s="90"/>
      <c r="AF22" s="20"/>
    </row>
    <row r="23" spans="1:32" s="17" customFormat="1" ht="13.5" customHeight="1">
      <c r="A23" s="179"/>
      <c r="B23" s="184"/>
      <c r="C23" s="212"/>
      <c r="D23" s="206"/>
      <c r="E23" s="236" t="s">
        <v>167</v>
      </c>
      <c r="F23" s="210"/>
      <c r="G23" s="180"/>
      <c r="H23" s="18"/>
      <c r="I23" s="90"/>
      <c r="J23" s="90"/>
      <c r="K23" s="90"/>
      <c r="L23" s="90"/>
      <c r="M23" s="90"/>
      <c r="N23" s="90"/>
      <c r="O23" s="99" t="s">
        <v>178</v>
      </c>
      <c r="P23" s="99" t="s">
        <v>178</v>
      </c>
      <c r="Q23" s="99" t="s">
        <v>178</v>
      </c>
      <c r="R23" s="99" t="s">
        <v>178</v>
      </c>
      <c r="S23" s="99" t="s">
        <v>178</v>
      </c>
      <c r="T23" s="99" t="s">
        <v>178</v>
      </c>
      <c r="U23" s="99" t="s">
        <v>178</v>
      </c>
      <c r="V23" s="99" t="s">
        <v>178</v>
      </c>
      <c r="W23" s="99" t="s">
        <v>178</v>
      </c>
      <c r="X23" s="99" t="s">
        <v>178</v>
      </c>
      <c r="Y23" s="99" t="s">
        <v>178</v>
      </c>
      <c r="Z23" s="99" t="s">
        <v>178</v>
      </c>
      <c r="AA23" s="90"/>
      <c r="AB23" s="99" t="s">
        <v>178</v>
      </c>
      <c r="AC23" s="90"/>
      <c r="AD23" s="90"/>
      <c r="AE23" s="90"/>
      <c r="AF23" s="90"/>
    </row>
    <row r="24" spans="1:32" s="17" customFormat="1" ht="13.5" customHeight="1">
      <c r="A24" s="179"/>
      <c r="B24" s="184"/>
      <c r="C24" s="210" t="s">
        <v>72</v>
      </c>
      <c r="D24" s="210"/>
      <c r="E24" s="210"/>
      <c r="F24" s="210"/>
      <c r="G24" s="180"/>
      <c r="H24" s="18"/>
      <c r="I24" s="90"/>
      <c r="J24" s="90"/>
      <c r="K24" s="90"/>
      <c r="L24" s="90"/>
      <c r="M24" s="90"/>
      <c r="N24" s="90"/>
      <c r="O24" s="90"/>
      <c r="P24" s="90"/>
      <c r="Q24" s="90"/>
      <c r="R24" s="90"/>
      <c r="S24" s="90"/>
      <c r="T24" s="90"/>
      <c r="U24" s="90"/>
      <c r="V24" s="90"/>
      <c r="W24" s="90"/>
      <c r="X24" s="90"/>
      <c r="Y24" s="90"/>
      <c r="Z24" s="90"/>
      <c r="AA24" s="90"/>
      <c r="AB24" s="90"/>
      <c r="AC24" s="90"/>
      <c r="AD24" s="90"/>
      <c r="AE24" s="90"/>
      <c r="AF24" s="20"/>
    </row>
    <row r="25" spans="1:32" s="17" customFormat="1" ht="13.5" customHeight="1">
      <c r="A25" s="179"/>
      <c r="B25" s="184"/>
      <c r="C25" s="212"/>
      <c r="D25" s="237"/>
      <c r="E25" s="210" t="s">
        <v>70</v>
      </c>
      <c r="F25" s="210"/>
      <c r="G25" s="180"/>
      <c r="H25" s="18" t="s">
        <v>178</v>
      </c>
      <c r="I25" s="99" t="s">
        <v>178</v>
      </c>
      <c r="J25" s="99" t="s">
        <v>178</v>
      </c>
      <c r="K25" s="99" t="s">
        <v>178</v>
      </c>
      <c r="L25" s="99" t="s">
        <v>178</v>
      </c>
      <c r="M25" s="99" t="s">
        <v>178</v>
      </c>
      <c r="N25" s="99" t="s">
        <v>178</v>
      </c>
      <c r="O25" s="99" t="s">
        <v>178</v>
      </c>
      <c r="P25" s="90"/>
      <c r="Q25" s="90"/>
      <c r="R25" s="90"/>
      <c r="S25" s="90"/>
      <c r="T25" s="90"/>
      <c r="U25" s="90"/>
      <c r="V25" s="90"/>
      <c r="W25" s="90"/>
      <c r="X25" s="90"/>
      <c r="Y25" s="90"/>
      <c r="Z25" s="90"/>
      <c r="AA25" s="90"/>
      <c r="AB25" s="90"/>
      <c r="AC25" s="90"/>
      <c r="AD25" s="90"/>
      <c r="AE25" s="90"/>
      <c r="AF25" s="20"/>
    </row>
    <row r="26" spans="1:32" s="17" customFormat="1" ht="13.5" customHeight="1">
      <c r="A26" s="179"/>
      <c r="B26" s="184"/>
      <c r="C26" s="212"/>
      <c r="D26" s="238"/>
      <c r="E26" s="265" t="s">
        <v>165</v>
      </c>
      <c r="F26" s="246"/>
      <c r="G26" s="242"/>
      <c r="H26" s="18"/>
      <c r="I26" s="90"/>
      <c r="J26" s="90"/>
      <c r="K26" s="90"/>
      <c r="L26" s="90"/>
      <c r="M26" s="90"/>
      <c r="N26" s="90"/>
      <c r="O26" s="90"/>
      <c r="P26" s="99" t="s">
        <v>178</v>
      </c>
      <c r="Q26" s="99" t="s">
        <v>178</v>
      </c>
      <c r="R26" s="99" t="s">
        <v>178</v>
      </c>
      <c r="S26" s="99" t="s">
        <v>178</v>
      </c>
      <c r="T26" s="99" t="s">
        <v>178</v>
      </c>
      <c r="U26" s="99" t="s">
        <v>178</v>
      </c>
      <c r="V26" s="99" t="s">
        <v>178</v>
      </c>
      <c r="W26" s="99" t="s">
        <v>178</v>
      </c>
      <c r="X26" s="99" t="s">
        <v>178</v>
      </c>
      <c r="Y26" s="99" t="s">
        <v>178</v>
      </c>
      <c r="Z26" s="99" t="s">
        <v>178</v>
      </c>
      <c r="AA26" s="99" t="s">
        <v>178</v>
      </c>
      <c r="AB26" s="99" t="s">
        <v>177</v>
      </c>
      <c r="AC26" s="90"/>
      <c r="AD26" s="90"/>
      <c r="AE26" s="90"/>
      <c r="AF26" s="90"/>
    </row>
    <row r="27" spans="1:32" s="17" customFormat="1" ht="13.5" customHeight="1">
      <c r="A27" s="179"/>
      <c r="B27" s="184"/>
      <c r="C27" s="210" t="s">
        <v>74</v>
      </c>
      <c r="D27" s="210"/>
      <c r="E27" s="210"/>
      <c r="F27" s="210"/>
      <c r="G27" s="180"/>
      <c r="H27" s="18"/>
      <c r="I27" s="90"/>
      <c r="J27" s="90"/>
      <c r="K27" s="90"/>
      <c r="L27" s="90"/>
      <c r="M27" s="90"/>
      <c r="N27" s="90"/>
      <c r="O27" s="90"/>
      <c r="P27" s="90"/>
      <c r="Q27" s="90"/>
      <c r="R27" s="90"/>
      <c r="S27" s="90"/>
      <c r="T27" s="90"/>
      <c r="U27" s="90"/>
      <c r="V27" s="90"/>
      <c r="W27" s="90"/>
      <c r="X27" s="90"/>
      <c r="Y27" s="90"/>
      <c r="Z27" s="90"/>
      <c r="AA27" s="90"/>
      <c r="AB27" s="90"/>
      <c r="AC27" s="90"/>
      <c r="AD27" s="90"/>
      <c r="AE27" s="90"/>
      <c r="AF27" s="20"/>
    </row>
    <row r="28" spans="1:32" s="17" customFormat="1" ht="13.5" customHeight="1">
      <c r="A28" s="179"/>
      <c r="B28" s="184"/>
      <c r="C28" s="90"/>
      <c r="D28" s="210" t="s">
        <v>55</v>
      </c>
      <c r="E28" s="210"/>
      <c r="F28" s="210"/>
      <c r="G28" s="180"/>
      <c r="H28" s="18"/>
      <c r="I28" s="90"/>
      <c r="J28" s="90"/>
      <c r="K28" s="90"/>
      <c r="L28" s="90"/>
      <c r="M28" s="90"/>
      <c r="N28" s="90"/>
      <c r="O28" s="90"/>
      <c r="P28" s="90"/>
      <c r="Q28" s="99" t="s">
        <v>178</v>
      </c>
      <c r="R28" s="99" t="s">
        <v>178</v>
      </c>
      <c r="S28" s="99" t="s">
        <v>178</v>
      </c>
      <c r="T28" s="99" t="s">
        <v>178</v>
      </c>
      <c r="U28" s="99" t="s">
        <v>178</v>
      </c>
      <c r="V28" s="99" t="s">
        <v>178</v>
      </c>
      <c r="W28" s="99" t="s">
        <v>178</v>
      </c>
      <c r="X28" s="99" t="s">
        <v>178</v>
      </c>
      <c r="Y28" s="99" t="s">
        <v>178</v>
      </c>
      <c r="Z28" s="99" t="s">
        <v>178</v>
      </c>
      <c r="AA28" s="99" t="s">
        <v>178</v>
      </c>
      <c r="AB28" s="99" t="s">
        <v>177</v>
      </c>
      <c r="AC28" s="90"/>
      <c r="AD28" s="90"/>
      <c r="AE28" s="90"/>
      <c r="AF28" s="90"/>
    </row>
    <row r="29" spans="1:32" s="17" customFormat="1" ht="13.5" customHeight="1">
      <c r="A29" s="179"/>
      <c r="B29" s="184"/>
      <c r="C29" s="210" t="s">
        <v>76</v>
      </c>
      <c r="D29" s="210"/>
      <c r="E29" s="210"/>
      <c r="F29" s="210"/>
      <c r="G29" s="180"/>
      <c r="H29" s="18"/>
      <c r="I29" s="90"/>
      <c r="J29" s="90"/>
      <c r="K29" s="90"/>
      <c r="L29" s="90"/>
      <c r="M29" s="90"/>
      <c r="N29" s="90"/>
      <c r="O29" s="90"/>
      <c r="P29" s="90"/>
      <c r="Q29" s="90"/>
      <c r="R29" s="90"/>
      <c r="S29" s="90"/>
      <c r="T29" s="90"/>
      <c r="U29" s="90"/>
      <c r="V29" s="90"/>
      <c r="W29" s="90"/>
      <c r="X29" s="90"/>
      <c r="Y29" s="90"/>
      <c r="Z29" s="90"/>
      <c r="AA29" s="90"/>
      <c r="AB29" s="90"/>
      <c r="AC29" s="90"/>
      <c r="AD29" s="90"/>
      <c r="AE29" s="90"/>
      <c r="AF29" s="20"/>
    </row>
    <row r="30" spans="1:32" s="17" customFormat="1" ht="13.5" customHeight="1">
      <c r="A30" s="179"/>
      <c r="B30" s="184"/>
      <c r="C30" s="212"/>
      <c r="D30" s="212"/>
      <c r="E30" s="210" t="s">
        <v>70</v>
      </c>
      <c r="F30" s="210"/>
      <c r="G30" s="180"/>
      <c r="H30" s="18" t="s">
        <v>178</v>
      </c>
      <c r="I30" s="99" t="s">
        <v>178</v>
      </c>
      <c r="J30" s="99" t="s">
        <v>178</v>
      </c>
      <c r="K30" s="99" t="s">
        <v>178</v>
      </c>
      <c r="L30" s="99" t="s">
        <v>178</v>
      </c>
      <c r="M30" s="99" t="s">
        <v>178</v>
      </c>
      <c r="N30" s="99" t="s">
        <v>178</v>
      </c>
      <c r="O30" s="99" t="s">
        <v>178</v>
      </c>
      <c r="P30" s="99" t="s">
        <v>178</v>
      </c>
      <c r="Q30" s="99" t="s">
        <v>178</v>
      </c>
      <c r="R30" s="90"/>
      <c r="S30" s="90"/>
      <c r="T30" s="90"/>
      <c r="U30" s="90"/>
      <c r="V30" s="90"/>
      <c r="W30" s="90"/>
      <c r="X30" s="90"/>
      <c r="Y30" s="90"/>
      <c r="Z30" s="90"/>
      <c r="AA30" s="99" t="s">
        <v>177</v>
      </c>
      <c r="AB30" s="90"/>
      <c r="AC30" s="90"/>
      <c r="AD30" s="90"/>
      <c r="AE30" s="90"/>
      <c r="AF30" s="20"/>
    </row>
    <row r="31" spans="1:32" s="17" customFormat="1" ht="13.5" customHeight="1">
      <c r="A31" s="179"/>
      <c r="B31" s="184"/>
      <c r="C31" s="212"/>
      <c r="D31" s="212"/>
      <c r="E31" s="269" t="s">
        <v>185</v>
      </c>
      <c r="F31" s="183"/>
      <c r="G31" s="221"/>
      <c r="H31" s="18"/>
      <c r="I31" s="90"/>
      <c r="J31" s="90"/>
      <c r="K31" s="90"/>
      <c r="L31" s="90"/>
      <c r="M31" s="90"/>
      <c r="N31" s="90"/>
      <c r="O31" s="90"/>
      <c r="P31" s="90"/>
      <c r="Q31" s="90"/>
      <c r="R31" s="99" t="s">
        <v>177</v>
      </c>
      <c r="S31" s="90"/>
      <c r="T31" s="90"/>
      <c r="U31" s="90"/>
      <c r="V31" s="90"/>
      <c r="W31" s="90"/>
      <c r="X31" s="90"/>
      <c r="Y31" s="90"/>
      <c r="Z31" s="90"/>
      <c r="AA31" s="90"/>
      <c r="AB31" s="90"/>
      <c r="AC31" s="90"/>
      <c r="AD31" s="90"/>
      <c r="AE31" s="90"/>
      <c r="AF31" s="86"/>
    </row>
    <row r="32" spans="1:32" s="17" customFormat="1" ht="13.5" customHeight="1">
      <c r="A32" s="179"/>
      <c r="B32" s="184"/>
      <c r="C32" s="212"/>
      <c r="D32" s="212"/>
      <c r="E32" s="245" t="s">
        <v>186</v>
      </c>
      <c r="F32" s="210"/>
      <c r="G32" s="180"/>
      <c r="H32" s="18"/>
      <c r="I32" s="90"/>
      <c r="J32" s="90"/>
      <c r="K32" s="90"/>
      <c r="L32" s="90"/>
      <c r="M32" s="90"/>
      <c r="N32" s="90"/>
      <c r="O32" s="90"/>
      <c r="P32" s="90"/>
      <c r="Q32" s="90"/>
      <c r="R32" s="90"/>
      <c r="S32" s="99" t="s">
        <v>177</v>
      </c>
      <c r="T32" s="99" t="s">
        <v>177</v>
      </c>
      <c r="U32" s="99" t="s">
        <v>177</v>
      </c>
      <c r="V32" s="99" t="s">
        <v>177</v>
      </c>
      <c r="W32" s="99" t="s">
        <v>177</v>
      </c>
      <c r="X32" s="99" t="s">
        <v>177</v>
      </c>
      <c r="Y32" s="99" t="s">
        <v>177</v>
      </c>
      <c r="Z32" s="99" t="s">
        <v>177</v>
      </c>
      <c r="AA32" s="90"/>
      <c r="AB32" s="99" t="s">
        <v>177</v>
      </c>
      <c r="AC32" s="90"/>
      <c r="AD32" s="90"/>
      <c r="AE32" s="90"/>
      <c r="AF32" s="90"/>
    </row>
    <row r="33" spans="1:32" s="17" customFormat="1" ht="13.5" customHeight="1">
      <c r="A33" s="179"/>
      <c r="B33" s="184"/>
      <c r="C33" s="210" t="s">
        <v>77</v>
      </c>
      <c r="D33" s="210"/>
      <c r="E33" s="210"/>
      <c r="F33" s="210"/>
      <c r="G33" s="180"/>
      <c r="H33" s="18"/>
      <c r="I33" s="90"/>
      <c r="J33" s="90"/>
      <c r="K33" s="90"/>
      <c r="L33" s="90"/>
      <c r="M33" s="90"/>
      <c r="N33" s="90"/>
      <c r="O33" s="90"/>
      <c r="P33" s="90"/>
      <c r="Q33" s="90"/>
      <c r="R33" s="90"/>
      <c r="S33" s="90"/>
      <c r="T33" s="90"/>
      <c r="U33" s="90"/>
      <c r="V33" s="90"/>
      <c r="W33" s="90"/>
      <c r="X33" s="90"/>
      <c r="Y33" s="90"/>
      <c r="Z33" s="90"/>
      <c r="AA33" s="90"/>
      <c r="AB33" s="90"/>
      <c r="AC33" s="90"/>
      <c r="AD33" s="90"/>
      <c r="AE33" s="90"/>
      <c r="AF33" s="20"/>
    </row>
    <row r="34" spans="1:32" s="17" customFormat="1" ht="13.5" customHeight="1">
      <c r="A34" s="179"/>
      <c r="B34" s="184"/>
      <c r="C34" s="212"/>
      <c r="D34" s="210" t="s">
        <v>122</v>
      </c>
      <c r="E34" s="210"/>
      <c r="F34" s="210"/>
      <c r="G34" s="180"/>
      <c r="H34" s="18"/>
      <c r="I34" s="90"/>
      <c r="J34" s="90"/>
      <c r="K34" s="90"/>
      <c r="L34" s="90"/>
      <c r="M34" s="90"/>
      <c r="N34" s="90"/>
      <c r="O34" s="90"/>
      <c r="P34" s="90"/>
      <c r="Q34" s="90"/>
      <c r="R34" s="90"/>
      <c r="S34" s="90"/>
      <c r="T34" s="90"/>
      <c r="U34" s="90"/>
      <c r="V34" s="90"/>
      <c r="W34" s="90"/>
      <c r="X34" s="90"/>
      <c r="Y34" s="90"/>
      <c r="Z34" s="90"/>
      <c r="AA34" s="90"/>
      <c r="AB34" s="90"/>
      <c r="AC34" s="90"/>
      <c r="AD34" s="90"/>
      <c r="AE34" s="90"/>
      <c r="AF34" s="20"/>
    </row>
    <row r="35" spans="1:32" s="17" customFormat="1" ht="13.5" customHeight="1">
      <c r="A35" s="179"/>
      <c r="B35" s="184"/>
      <c r="C35" s="212"/>
      <c r="D35" s="237"/>
      <c r="E35" s="180" t="s">
        <v>117</v>
      </c>
      <c r="F35" s="183"/>
      <c r="G35" s="221"/>
      <c r="H35" s="86" t="s">
        <v>178</v>
      </c>
      <c r="I35" s="99" t="s">
        <v>178</v>
      </c>
      <c r="J35" s="99" t="s">
        <v>178</v>
      </c>
      <c r="K35" s="99" t="s">
        <v>178</v>
      </c>
      <c r="L35" s="99" t="s">
        <v>178</v>
      </c>
      <c r="M35" s="99" t="s">
        <v>178</v>
      </c>
      <c r="N35" s="99" t="s">
        <v>178</v>
      </c>
      <c r="O35" s="99" t="s">
        <v>177</v>
      </c>
      <c r="P35" s="99" t="s">
        <v>177</v>
      </c>
      <c r="Q35" s="99" t="s">
        <v>177</v>
      </c>
      <c r="R35" s="99" t="s">
        <v>177</v>
      </c>
      <c r="S35" s="99" t="s">
        <v>177</v>
      </c>
      <c r="T35" s="90"/>
      <c r="U35" s="90"/>
      <c r="V35" s="90"/>
      <c r="W35" s="90"/>
      <c r="X35" s="90"/>
      <c r="Y35" s="90"/>
      <c r="Z35" s="90"/>
      <c r="AA35" s="90"/>
      <c r="AB35" s="90"/>
      <c r="AC35" s="90"/>
      <c r="AD35" s="90"/>
      <c r="AE35" s="90"/>
      <c r="AF35" s="20"/>
    </row>
    <row r="36" spans="1:32" s="17" customFormat="1" ht="13.5" customHeight="1">
      <c r="A36" s="179"/>
      <c r="B36" s="184"/>
      <c r="C36" s="212"/>
      <c r="D36" s="238"/>
      <c r="E36" s="266">
        <v>1997</v>
      </c>
      <c r="F36" s="267"/>
      <c r="G36" s="268"/>
      <c r="H36" s="18"/>
      <c r="I36" s="90"/>
      <c r="J36" s="90"/>
      <c r="K36" s="90"/>
      <c r="L36" s="90"/>
      <c r="M36" s="90"/>
      <c r="N36" s="90"/>
      <c r="O36" s="90"/>
      <c r="P36" s="90"/>
      <c r="Q36" s="90"/>
      <c r="R36" s="90"/>
      <c r="S36" s="90"/>
      <c r="T36" s="99" t="s">
        <v>177</v>
      </c>
      <c r="U36" s="99" t="s">
        <v>177</v>
      </c>
      <c r="V36" s="99" t="s">
        <v>177</v>
      </c>
      <c r="W36" s="99" t="s">
        <v>177</v>
      </c>
      <c r="X36" s="99" t="s">
        <v>177</v>
      </c>
      <c r="Y36" s="99" t="s">
        <v>177</v>
      </c>
      <c r="Z36" s="99" t="s">
        <v>177</v>
      </c>
      <c r="AA36" s="99" t="s">
        <v>177</v>
      </c>
      <c r="AB36" s="99" t="s">
        <v>177</v>
      </c>
      <c r="AC36" s="90"/>
      <c r="AD36" s="90"/>
      <c r="AE36" s="90"/>
      <c r="AF36" s="90"/>
    </row>
    <row r="37" spans="1:32" s="17" customFormat="1" ht="13.5" customHeight="1">
      <c r="A37" s="179"/>
      <c r="B37" s="184"/>
      <c r="C37" s="212"/>
      <c r="D37" s="210" t="s">
        <v>78</v>
      </c>
      <c r="E37" s="210"/>
      <c r="F37" s="210"/>
      <c r="G37" s="180"/>
      <c r="H37" s="18"/>
      <c r="I37" s="90"/>
      <c r="J37" s="90"/>
      <c r="K37" s="90"/>
      <c r="L37" s="90"/>
      <c r="M37" s="90"/>
      <c r="N37" s="90"/>
      <c r="O37" s="90"/>
      <c r="P37" s="90"/>
      <c r="Q37" s="90"/>
      <c r="R37" s="90"/>
      <c r="S37" s="90"/>
      <c r="T37" s="90"/>
      <c r="U37" s="90"/>
      <c r="V37" s="90"/>
      <c r="W37" s="90"/>
      <c r="X37" s="90"/>
      <c r="Y37" s="90"/>
      <c r="Z37" s="90"/>
      <c r="AA37" s="90"/>
      <c r="AB37" s="90"/>
      <c r="AC37" s="90"/>
      <c r="AD37" s="90"/>
      <c r="AE37" s="90"/>
      <c r="AF37" s="20"/>
    </row>
    <row r="38" spans="1:32" s="17" customFormat="1" ht="13.5" customHeight="1">
      <c r="A38" s="179"/>
      <c r="B38" s="184"/>
      <c r="C38" s="212"/>
      <c r="D38" s="237"/>
      <c r="E38" s="180" t="s">
        <v>70</v>
      </c>
      <c r="F38" s="183"/>
      <c r="G38" s="221"/>
      <c r="H38" s="86" t="s">
        <v>178</v>
      </c>
      <c r="I38" s="99" t="s">
        <v>178</v>
      </c>
      <c r="J38" s="99" t="s">
        <v>178</v>
      </c>
      <c r="K38" s="99" t="s">
        <v>178</v>
      </c>
      <c r="L38" s="99" t="s">
        <v>178</v>
      </c>
      <c r="M38" s="99" t="s">
        <v>178</v>
      </c>
      <c r="N38" s="99" t="s">
        <v>178</v>
      </c>
      <c r="O38" s="99" t="s">
        <v>178</v>
      </c>
      <c r="P38" s="99" t="s">
        <v>178</v>
      </c>
      <c r="Q38" s="99" t="s">
        <v>178</v>
      </c>
      <c r="R38" s="99" t="s">
        <v>178</v>
      </c>
      <c r="S38" s="99" t="s">
        <v>178</v>
      </c>
      <c r="T38" s="99" t="s">
        <v>178</v>
      </c>
      <c r="U38" s="90"/>
      <c r="V38" s="90"/>
      <c r="W38" s="90"/>
      <c r="X38" s="90"/>
      <c r="Y38" s="90"/>
      <c r="Z38" s="90"/>
      <c r="AA38" s="90"/>
      <c r="AB38" s="90"/>
      <c r="AC38" s="90"/>
      <c r="AD38" s="90"/>
      <c r="AE38" s="90"/>
      <c r="AF38" s="20"/>
    </row>
    <row r="39" spans="1:32" s="17" customFormat="1" ht="13.5" customHeight="1">
      <c r="A39" s="179"/>
      <c r="B39" s="184"/>
      <c r="C39" s="212"/>
      <c r="D39" s="238"/>
      <c r="E39" s="240">
        <v>3</v>
      </c>
      <c r="F39" s="210"/>
      <c r="G39" s="180"/>
      <c r="H39" s="18"/>
      <c r="I39" s="90"/>
      <c r="J39" s="90"/>
      <c r="K39" s="90"/>
      <c r="L39" s="90"/>
      <c r="M39" s="90"/>
      <c r="N39" s="90"/>
      <c r="O39" s="90"/>
      <c r="P39" s="90"/>
      <c r="Q39" s="90"/>
      <c r="R39" s="90"/>
      <c r="S39" s="90"/>
      <c r="T39" s="90"/>
      <c r="U39" s="99" t="s">
        <v>178</v>
      </c>
      <c r="V39" s="99" t="s">
        <v>178</v>
      </c>
      <c r="W39" s="99" t="s">
        <v>178</v>
      </c>
      <c r="X39" s="99" t="s">
        <v>178</v>
      </c>
      <c r="Y39" s="99" t="s">
        <v>178</v>
      </c>
      <c r="Z39" s="99" t="s">
        <v>178</v>
      </c>
      <c r="AA39" s="99" t="s">
        <v>178</v>
      </c>
      <c r="AB39" s="99" t="s">
        <v>178</v>
      </c>
      <c r="AC39" s="90"/>
      <c r="AD39" s="90"/>
      <c r="AE39" s="90"/>
      <c r="AF39" s="90"/>
    </row>
    <row r="40" spans="1:32" s="17" customFormat="1" ht="13.5" customHeight="1">
      <c r="A40" s="179"/>
      <c r="B40" s="184"/>
      <c r="C40" s="212"/>
      <c r="D40" s="210" t="s">
        <v>56</v>
      </c>
      <c r="E40" s="210"/>
      <c r="F40" s="210"/>
      <c r="G40" s="180"/>
      <c r="H40" s="18"/>
      <c r="I40" s="90"/>
      <c r="J40" s="90"/>
      <c r="K40" s="90"/>
      <c r="L40" s="90"/>
      <c r="M40" s="90"/>
      <c r="N40" s="90"/>
      <c r="O40" s="90"/>
      <c r="P40" s="90"/>
      <c r="Q40" s="90"/>
      <c r="R40" s="90"/>
      <c r="S40" s="90"/>
      <c r="T40" s="90"/>
      <c r="U40" s="90"/>
      <c r="V40" s="90"/>
      <c r="W40" s="90"/>
      <c r="X40" s="90"/>
      <c r="Y40" s="90"/>
      <c r="Z40" s="90"/>
      <c r="AA40" s="90"/>
      <c r="AB40" s="90"/>
      <c r="AC40" s="90"/>
      <c r="AD40" s="90"/>
      <c r="AE40" s="90"/>
      <c r="AF40" s="20"/>
    </row>
    <row r="41" spans="1:32" s="17" customFormat="1" ht="13.5" customHeight="1">
      <c r="A41" s="179"/>
      <c r="B41" s="184"/>
      <c r="C41" s="212"/>
      <c r="D41" s="237"/>
      <c r="E41" s="180" t="s">
        <v>70</v>
      </c>
      <c r="F41" s="183"/>
      <c r="G41" s="221"/>
      <c r="H41" s="86" t="s">
        <v>178</v>
      </c>
      <c r="I41" s="99" t="s">
        <v>178</v>
      </c>
      <c r="J41" s="99" t="s">
        <v>178</v>
      </c>
      <c r="K41" s="99" t="s">
        <v>178</v>
      </c>
      <c r="L41" s="99" t="s">
        <v>178</v>
      </c>
      <c r="M41" s="99" t="s">
        <v>178</v>
      </c>
      <c r="N41" s="99" t="s">
        <v>178</v>
      </c>
      <c r="O41" s="99" t="s">
        <v>178</v>
      </c>
      <c r="P41" s="99" t="s">
        <v>178</v>
      </c>
      <c r="Q41" s="99" t="s">
        <v>178</v>
      </c>
      <c r="R41" s="99" t="s">
        <v>178</v>
      </c>
      <c r="S41" s="99" t="s">
        <v>178</v>
      </c>
      <c r="T41" s="99" t="s">
        <v>178</v>
      </c>
      <c r="U41" s="99" t="s">
        <v>178</v>
      </c>
      <c r="V41" s="90"/>
      <c r="W41" s="90"/>
      <c r="X41" s="90"/>
      <c r="Y41" s="90"/>
      <c r="Z41" s="90"/>
      <c r="AA41" s="90"/>
      <c r="AB41" s="90"/>
      <c r="AC41" s="90"/>
      <c r="AD41" s="90"/>
      <c r="AE41" s="90"/>
      <c r="AF41" s="20"/>
    </row>
    <row r="42" spans="1:32" s="17" customFormat="1" ht="13.5" customHeight="1">
      <c r="A42" s="179"/>
      <c r="B42" s="184"/>
      <c r="C42" s="212"/>
      <c r="D42" s="184"/>
      <c r="E42" s="241">
        <v>17</v>
      </c>
      <c r="F42" s="183"/>
      <c r="G42" s="221"/>
      <c r="H42" s="18"/>
      <c r="I42" s="90"/>
      <c r="J42" s="90"/>
      <c r="K42" s="90"/>
      <c r="L42" s="90"/>
      <c r="M42" s="90"/>
      <c r="N42" s="90"/>
      <c r="O42" s="90"/>
      <c r="P42" s="90"/>
      <c r="Q42" s="90"/>
      <c r="R42" s="90"/>
      <c r="S42" s="90"/>
      <c r="T42" s="90"/>
      <c r="U42" s="90"/>
      <c r="V42" s="99" t="s">
        <v>178</v>
      </c>
      <c r="W42" s="99" t="s">
        <v>178</v>
      </c>
      <c r="X42" s="99" t="s">
        <v>178</v>
      </c>
      <c r="Y42" s="99" t="s">
        <v>178</v>
      </c>
      <c r="Z42" s="99" t="s">
        <v>178</v>
      </c>
      <c r="AA42" s="99" t="s">
        <v>178</v>
      </c>
      <c r="AB42" s="99" t="s">
        <v>178</v>
      </c>
      <c r="AC42" s="90"/>
      <c r="AD42" s="90"/>
      <c r="AE42" s="90"/>
      <c r="AF42" s="90"/>
    </row>
    <row r="43" spans="1:32" s="17" customFormat="1" ht="13.5" customHeight="1">
      <c r="A43" s="179"/>
      <c r="B43" s="184"/>
      <c r="C43" s="210" t="s">
        <v>79</v>
      </c>
      <c r="D43" s="210"/>
      <c r="E43" s="210"/>
      <c r="F43" s="210"/>
      <c r="G43" s="180"/>
      <c r="H43" s="18"/>
      <c r="I43" s="90"/>
      <c r="J43" s="90"/>
      <c r="K43" s="90"/>
      <c r="L43" s="90"/>
      <c r="M43" s="90"/>
      <c r="N43" s="90"/>
      <c r="O43" s="90"/>
      <c r="P43" s="90"/>
      <c r="Q43" s="90"/>
      <c r="R43" s="90"/>
      <c r="S43" s="90"/>
      <c r="T43" s="90"/>
      <c r="U43" s="90"/>
      <c r="V43" s="90"/>
      <c r="W43" s="90"/>
      <c r="X43" s="90"/>
      <c r="Y43" s="90"/>
      <c r="Z43" s="90"/>
      <c r="AA43" s="90"/>
      <c r="AB43" s="90"/>
      <c r="AC43" s="90"/>
      <c r="AD43" s="90"/>
      <c r="AE43" s="90"/>
      <c r="AF43" s="20"/>
    </row>
    <row r="44" spans="1:32" s="17" customFormat="1" ht="13.5" customHeight="1">
      <c r="A44" s="179"/>
      <c r="B44" s="184"/>
      <c r="C44" s="212"/>
      <c r="D44" s="210" t="s">
        <v>70</v>
      </c>
      <c r="E44" s="210"/>
      <c r="F44" s="210"/>
      <c r="G44" s="211"/>
      <c r="H44" s="85" t="s">
        <v>178</v>
      </c>
      <c r="I44" s="99" t="s">
        <v>178</v>
      </c>
      <c r="J44" s="99" t="s">
        <v>178</v>
      </c>
      <c r="K44" s="99" t="s">
        <v>178</v>
      </c>
      <c r="L44" s="99" t="s">
        <v>178</v>
      </c>
      <c r="M44" s="99" t="s">
        <v>178</v>
      </c>
      <c r="N44" s="99" t="s">
        <v>178</v>
      </c>
      <c r="O44" s="99" t="s">
        <v>178</v>
      </c>
      <c r="P44" s="99" t="s">
        <v>178</v>
      </c>
      <c r="Q44" s="99" t="s">
        <v>178</v>
      </c>
      <c r="R44" s="99" t="s">
        <v>178</v>
      </c>
      <c r="S44" s="99" t="s">
        <v>178</v>
      </c>
      <c r="T44" s="99" t="s">
        <v>178</v>
      </c>
      <c r="U44" s="99" t="s">
        <v>178</v>
      </c>
      <c r="V44" s="99" t="s">
        <v>178</v>
      </c>
      <c r="W44" s="90"/>
      <c r="X44" s="90"/>
      <c r="Y44" s="90"/>
      <c r="Z44" s="90"/>
      <c r="AA44" s="99" t="s">
        <v>178</v>
      </c>
      <c r="AB44" s="99" t="s">
        <v>178</v>
      </c>
      <c r="AC44" s="90"/>
      <c r="AD44" s="90"/>
      <c r="AE44" s="90"/>
      <c r="AF44" s="20"/>
    </row>
    <row r="45" spans="1:32" s="17" customFormat="1" ht="13.5" customHeight="1">
      <c r="A45" s="179"/>
      <c r="B45" s="184"/>
      <c r="C45" s="212"/>
      <c r="D45" s="236" t="s">
        <v>166</v>
      </c>
      <c r="E45" s="210"/>
      <c r="F45" s="210"/>
      <c r="G45" s="180"/>
      <c r="H45" s="18"/>
      <c r="I45" s="90"/>
      <c r="J45" s="90"/>
      <c r="K45" s="90"/>
      <c r="L45" s="90"/>
      <c r="M45" s="90"/>
      <c r="N45" s="90"/>
      <c r="O45" s="90"/>
      <c r="P45" s="90"/>
      <c r="Q45" s="90"/>
      <c r="R45" s="90"/>
      <c r="S45" s="90"/>
      <c r="T45" s="90"/>
      <c r="U45" s="90"/>
      <c r="V45" s="90"/>
      <c r="W45" s="99" t="s">
        <v>178</v>
      </c>
      <c r="X45" s="99" t="s">
        <v>178</v>
      </c>
      <c r="Y45" s="99" t="s">
        <v>178</v>
      </c>
      <c r="Z45" s="99" t="s">
        <v>178</v>
      </c>
      <c r="AA45" s="90"/>
      <c r="AB45" s="90"/>
      <c r="AC45" s="90"/>
      <c r="AD45" s="90"/>
      <c r="AE45" s="90"/>
      <c r="AF45" s="90"/>
    </row>
    <row r="46" spans="1:32" s="17" customFormat="1" ht="13.5" customHeight="1">
      <c r="A46" s="179"/>
      <c r="B46" s="184"/>
      <c r="C46" s="210" t="s">
        <v>80</v>
      </c>
      <c r="D46" s="210"/>
      <c r="E46" s="210"/>
      <c r="F46" s="210"/>
      <c r="G46" s="180"/>
      <c r="H46" s="18"/>
      <c r="I46" s="90"/>
      <c r="J46" s="90"/>
      <c r="K46" s="90"/>
      <c r="L46" s="90"/>
      <c r="M46" s="90"/>
      <c r="N46" s="90"/>
      <c r="O46" s="90"/>
      <c r="P46" s="90"/>
      <c r="Q46" s="90"/>
      <c r="R46" s="90"/>
      <c r="S46" s="90"/>
      <c r="T46" s="90"/>
      <c r="U46" s="90"/>
      <c r="V46" s="90"/>
      <c r="W46" s="90"/>
      <c r="X46" s="90"/>
      <c r="Y46" s="90"/>
      <c r="Z46" s="90"/>
      <c r="AA46" s="90"/>
      <c r="AB46" s="90"/>
      <c r="AC46" s="90"/>
      <c r="AD46" s="90"/>
      <c r="AE46" s="90"/>
      <c r="AF46" s="20"/>
    </row>
    <row r="47" spans="1:32" s="17" customFormat="1" ht="13.5" customHeight="1">
      <c r="A47" s="179"/>
      <c r="B47" s="184"/>
      <c r="C47" s="212"/>
      <c r="D47" s="210" t="s">
        <v>81</v>
      </c>
      <c r="E47" s="210"/>
      <c r="F47" s="210"/>
      <c r="G47" s="180"/>
      <c r="H47" s="18"/>
      <c r="I47" s="90"/>
      <c r="J47" s="90"/>
      <c r="K47" s="90"/>
      <c r="L47" s="90"/>
      <c r="M47" s="90"/>
      <c r="N47" s="90"/>
      <c r="O47" s="90"/>
      <c r="P47" s="90"/>
      <c r="Q47" s="90"/>
      <c r="R47" s="90"/>
      <c r="S47" s="90"/>
      <c r="T47" s="90"/>
      <c r="U47" s="90"/>
      <c r="V47" s="90"/>
      <c r="W47" s="90"/>
      <c r="X47" s="99" t="s">
        <v>178</v>
      </c>
      <c r="Y47" s="90"/>
      <c r="Z47" s="99" t="s">
        <v>178</v>
      </c>
      <c r="AA47" s="99" t="s">
        <v>178</v>
      </c>
      <c r="AB47" s="90"/>
      <c r="AC47" s="90"/>
      <c r="AD47" s="90"/>
      <c r="AE47" s="90"/>
      <c r="AF47" s="90"/>
    </row>
    <row r="48" spans="1:32" s="17" customFormat="1" ht="13.5" customHeight="1">
      <c r="A48" s="179"/>
      <c r="B48" s="184"/>
      <c r="C48" s="212"/>
      <c r="D48" s="210" t="s">
        <v>82</v>
      </c>
      <c r="E48" s="210"/>
      <c r="F48" s="210"/>
      <c r="G48" s="180"/>
      <c r="H48" s="18"/>
      <c r="I48" s="90"/>
      <c r="J48" s="90"/>
      <c r="K48" s="90"/>
      <c r="L48" s="90"/>
      <c r="M48" s="90"/>
      <c r="N48" s="90"/>
      <c r="O48" s="90"/>
      <c r="P48" s="90"/>
      <c r="Q48" s="90"/>
      <c r="R48" s="90"/>
      <c r="S48" s="90"/>
      <c r="T48" s="90"/>
      <c r="U48" s="90"/>
      <c r="V48" s="90"/>
      <c r="W48" s="90"/>
      <c r="X48" s="90"/>
      <c r="Y48" s="90"/>
      <c r="Z48" s="99" t="s">
        <v>178</v>
      </c>
      <c r="AA48" s="90"/>
      <c r="AB48" s="90"/>
      <c r="AC48" s="90"/>
      <c r="AD48" s="90"/>
      <c r="AE48" s="90"/>
      <c r="AF48" s="90"/>
    </row>
    <row r="49" spans="1:32" s="17" customFormat="1" ht="13.5" customHeight="1">
      <c r="A49" s="179"/>
      <c r="B49" s="184"/>
      <c r="C49" s="212"/>
      <c r="D49" s="210" t="s">
        <v>83</v>
      </c>
      <c r="E49" s="210"/>
      <c r="F49" s="210"/>
      <c r="G49" s="180"/>
      <c r="H49" s="18"/>
      <c r="I49" s="90"/>
      <c r="J49" s="90"/>
      <c r="K49" s="90"/>
      <c r="L49" s="90"/>
      <c r="M49" s="90"/>
      <c r="N49" s="90"/>
      <c r="O49" s="90"/>
      <c r="P49" s="90"/>
      <c r="Q49" s="90"/>
      <c r="R49" s="90"/>
      <c r="S49" s="90"/>
      <c r="T49" s="90"/>
      <c r="U49" s="90"/>
      <c r="V49" s="90"/>
      <c r="W49" s="90"/>
      <c r="X49" s="90"/>
      <c r="Y49" s="90"/>
      <c r="Z49" s="99" t="s">
        <v>178</v>
      </c>
      <c r="AA49" s="90"/>
      <c r="AB49" s="90"/>
      <c r="AC49" s="90"/>
      <c r="AD49" s="90"/>
      <c r="AE49" s="90"/>
      <c r="AF49" s="90"/>
    </row>
    <row r="50" spans="1:32" s="17" customFormat="1" ht="13.5" customHeight="1">
      <c r="A50" s="179"/>
      <c r="B50" s="184"/>
      <c r="C50" s="212"/>
      <c r="D50" s="210" t="s">
        <v>84</v>
      </c>
      <c r="E50" s="210"/>
      <c r="F50" s="210"/>
      <c r="G50" s="180"/>
      <c r="H50" s="18"/>
      <c r="I50" s="90"/>
      <c r="J50" s="90"/>
      <c r="K50" s="90"/>
      <c r="L50" s="90"/>
      <c r="M50" s="90"/>
      <c r="N50" s="90"/>
      <c r="O50" s="90"/>
      <c r="P50" s="90"/>
      <c r="Q50" s="90"/>
      <c r="R50" s="90"/>
      <c r="S50" s="90"/>
      <c r="T50" s="90"/>
      <c r="U50" s="90"/>
      <c r="V50" s="90"/>
      <c r="W50" s="90"/>
      <c r="X50" s="90"/>
      <c r="Y50" s="90"/>
      <c r="Z50" s="99" t="s">
        <v>178</v>
      </c>
      <c r="AA50" s="90"/>
      <c r="AB50" s="90"/>
      <c r="AC50" s="90"/>
      <c r="AD50" s="90"/>
      <c r="AE50" s="90"/>
      <c r="AF50" s="90"/>
    </row>
    <row r="51" spans="1:32" s="17" customFormat="1" ht="13.5" customHeight="1">
      <c r="A51" s="179"/>
      <c r="B51" s="184"/>
      <c r="C51" s="210" t="s">
        <v>85</v>
      </c>
      <c r="D51" s="210"/>
      <c r="E51" s="210"/>
      <c r="F51" s="210"/>
      <c r="G51" s="180"/>
      <c r="H51" s="18"/>
      <c r="I51" s="90"/>
      <c r="J51" s="90"/>
      <c r="K51" s="90"/>
      <c r="L51" s="90"/>
      <c r="M51" s="90"/>
      <c r="N51" s="90"/>
      <c r="O51" s="90"/>
      <c r="P51" s="90"/>
      <c r="Q51" s="90"/>
      <c r="R51" s="90"/>
      <c r="S51" s="90"/>
      <c r="T51" s="90"/>
      <c r="U51" s="90"/>
      <c r="V51" s="90"/>
      <c r="W51" s="90"/>
      <c r="X51" s="90"/>
      <c r="Y51" s="90"/>
      <c r="Z51" s="90"/>
      <c r="AA51" s="90"/>
      <c r="AB51" s="90"/>
      <c r="AC51" s="90"/>
      <c r="AD51" s="90"/>
      <c r="AE51" s="90"/>
      <c r="AF51" s="90"/>
    </row>
    <row r="52" spans="1:32" s="17" customFormat="1" ht="13.5" customHeight="1">
      <c r="A52" s="179"/>
      <c r="B52" s="184"/>
      <c r="C52" s="237"/>
      <c r="D52" s="210" t="s">
        <v>70</v>
      </c>
      <c r="E52" s="210"/>
      <c r="F52" s="210"/>
      <c r="G52" s="211"/>
      <c r="H52" s="85" t="s">
        <v>178</v>
      </c>
      <c r="I52" s="99" t="s">
        <v>178</v>
      </c>
      <c r="J52" s="99" t="s">
        <v>178</v>
      </c>
      <c r="K52" s="99" t="s">
        <v>178</v>
      </c>
      <c r="L52" s="99" t="s">
        <v>178</v>
      </c>
      <c r="M52" s="99" t="s">
        <v>178</v>
      </c>
      <c r="N52" s="99" t="s">
        <v>178</v>
      </c>
      <c r="O52" s="99" t="s">
        <v>178</v>
      </c>
      <c r="P52" s="99" t="s">
        <v>178</v>
      </c>
      <c r="Q52" s="99" t="s">
        <v>178</v>
      </c>
      <c r="R52" s="99" t="s">
        <v>178</v>
      </c>
      <c r="S52" s="99" t="s">
        <v>178</v>
      </c>
      <c r="T52" s="99" t="s">
        <v>178</v>
      </c>
      <c r="U52" s="99" t="s">
        <v>178</v>
      </c>
      <c r="V52" s="99" t="s">
        <v>178</v>
      </c>
      <c r="W52" s="99" t="s">
        <v>178</v>
      </c>
      <c r="X52" s="99" t="s">
        <v>178</v>
      </c>
      <c r="Y52" s="90"/>
      <c r="Z52" s="90"/>
      <c r="AA52" s="99" t="s">
        <v>178</v>
      </c>
      <c r="AB52" s="90"/>
      <c r="AD52" s="90"/>
      <c r="AE52" s="90"/>
      <c r="AF52" s="90"/>
    </row>
    <row r="53" spans="1:32" s="17" customFormat="1" ht="13.5" customHeight="1">
      <c r="A53" s="179"/>
      <c r="B53" s="184"/>
      <c r="C53" s="238"/>
      <c r="D53" s="210" t="s">
        <v>59</v>
      </c>
      <c r="E53" s="210"/>
      <c r="F53" s="210"/>
      <c r="G53" s="180"/>
      <c r="H53" s="18"/>
      <c r="I53" s="90"/>
      <c r="J53" s="90"/>
      <c r="K53" s="90"/>
      <c r="L53" s="90"/>
      <c r="M53" s="90"/>
      <c r="N53" s="90"/>
      <c r="O53" s="90"/>
      <c r="P53" s="90"/>
      <c r="Q53" s="90"/>
      <c r="R53" s="90"/>
      <c r="S53" s="90"/>
      <c r="T53" s="90"/>
      <c r="U53" s="90"/>
      <c r="V53" s="90"/>
      <c r="W53" s="90"/>
      <c r="X53" s="90"/>
      <c r="Y53" s="99" t="s">
        <v>178</v>
      </c>
      <c r="Z53" s="99" t="s">
        <v>178</v>
      </c>
      <c r="AA53" s="78"/>
      <c r="AB53" s="78" t="s">
        <v>178</v>
      </c>
      <c r="AC53" s="90"/>
      <c r="AD53" s="90"/>
      <c r="AE53" s="90"/>
      <c r="AF53" s="90"/>
    </row>
    <row r="54" spans="1:32" s="17" customFormat="1" ht="13.5" customHeight="1">
      <c r="A54" s="179"/>
      <c r="B54" s="184"/>
      <c r="C54" s="210" t="s">
        <v>86</v>
      </c>
      <c r="D54" s="210"/>
      <c r="E54" s="210"/>
      <c r="F54" s="210"/>
      <c r="G54" s="211"/>
      <c r="H54" s="85" t="s">
        <v>178</v>
      </c>
      <c r="I54" s="99" t="s">
        <v>178</v>
      </c>
      <c r="J54" s="99" t="s">
        <v>178</v>
      </c>
      <c r="K54" s="99" t="s">
        <v>178</v>
      </c>
      <c r="L54" s="99" t="s">
        <v>178</v>
      </c>
      <c r="M54" s="99" t="s">
        <v>178</v>
      </c>
      <c r="N54" s="99" t="s">
        <v>178</v>
      </c>
      <c r="O54" s="99" t="s">
        <v>178</v>
      </c>
      <c r="P54" s="99" t="s">
        <v>178</v>
      </c>
      <c r="Q54" s="99" t="s">
        <v>178</v>
      </c>
      <c r="R54" s="99" t="s">
        <v>178</v>
      </c>
      <c r="S54" s="99" t="s">
        <v>178</v>
      </c>
      <c r="T54" s="99" t="s">
        <v>178</v>
      </c>
      <c r="U54" s="99" t="s">
        <v>178</v>
      </c>
      <c r="V54" s="99" t="s">
        <v>178</v>
      </c>
      <c r="W54" s="99" t="s">
        <v>178</v>
      </c>
      <c r="X54" s="99" t="s">
        <v>178</v>
      </c>
      <c r="Y54" s="99" t="s">
        <v>178</v>
      </c>
      <c r="Z54" s="99" t="s">
        <v>178</v>
      </c>
      <c r="AA54" s="99" t="s">
        <v>178</v>
      </c>
      <c r="AB54" s="99" t="s">
        <v>178</v>
      </c>
      <c r="AC54" s="99" t="s">
        <v>178</v>
      </c>
      <c r="AD54" s="90"/>
      <c r="AE54" s="90"/>
      <c r="AF54" s="90"/>
    </row>
    <row r="55" spans="1:32" s="17" customFormat="1" ht="13.5" customHeight="1">
      <c r="A55" s="179"/>
      <c r="B55" s="184"/>
      <c r="C55" s="210" t="s">
        <v>87</v>
      </c>
      <c r="D55" s="210"/>
      <c r="E55" s="210"/>
      <c r="F55" s="210"/>
      <c r="G55" s="180"/>
      <c r="H55" s="18"/>
      <c r="I55" s="90"/>
      <c r="J55" s="90"/>
      <c r="K55" s="90"/>
      <c r="L55" s="90"/>
      <c r="M55" s="90"/>
      <c r="N55" s="90"/>
      <c r="O55" s="90"/>
      <c r="P55" s="90"/>
      <c r="Q55" s="90"/>
      <c r="R55" s="90"/>
      <c r="S55" s="90"/>
      <c r="T55" s="90"/>
      <c r="U55" s="90"/>
      <c r="V55" s="90"/>
      <c r="W55" s="90"/>
      <c r="X55" s="90"/>
      <c r="Y55" s="90"/>
      <c r="Z55" s="90"/>
      <c r="AA55" s="90"/>
      <c r="AB55" s="90"/>
      <c r="AC55" s="90"/>
      <c r="AD55" s="90"/>
      <c r="AE55" s="90"/>
      <c r="AF55" s="20"/>
    </row>
    <row r="56" spans="1:32" s="17" customFormat="1" ht="13.5" customHeight="1" thickBot="1">
      <c r="A56" s="179"/>
      <c r="B56" s="239"/>
      <c r="C56" s="89"/>
      <c r="D56" s="270" t="s">
        <v>88</v>
      </c>
      <c r="E56" s="270"/>
      <c r="F56" s="270"/>
      <c r="G56" s="271"/>
      <c r="H56" s="87"/>
      <c r="I56" s="91"/>
      <c r="J56" s="91"/>
      <c r="K56" s="91"/>
      <c r="L56" s="91"/>
      <c r="M56" s="91"/>
      <c r="N56" s="91"/>
      <c r="O56" s="91"/>
      <c r="P56" s="91"/>
      <c r="Q56" s="91"/>
      <c r="R56" s="91"/>
      <c r="S56" s="91"/>
      <c r="T56" s="91"/>
      <c r="U56" s="91"/>
      <c r="V56" s="91"/>
      <c r="W56" s="91"/>
      <c r="X56" s="91"/>
      <c r="Y56" s="91"/>
      <c r="Z56" s="91"/>
      <c r="AA56" s="91"/>
      <c r="AB56" s="91"/>
      <c r="AC56" s="100" t="s">
        <v>178</v>
      </c>
      <c r="AD56" s="91"/>
      <c r="AE56" s="91"/>
      <c r="AF56" s="20"/>
    </row>
    <row r="57" spans="1:32" s="17" customFormat="1" ht="13.5" customHeight="1">
      <c r="A57" s="172" t="s">
        <v>89</v>
      </c>
      <c r="B57" s="252" t="s">
        <v>57</v>
      </c>
      <c r="C57" s="252"/>
      <c r="D57" s="252"/>
      <c r="E57" s="252"/>
      <c r="F57" s="252"/>
      <c r="G57" s="253"/>
      <c r="H57" s="25"/>
      <c r="I57" s="26"/>
      <c r="J57" s="26"/>
      <c r="K57" s="26"/>
      <c r="L57" s="26"/>
      <c r="M57" s="26"/>
      <c r="N57" s="26"/>
      <c r="O57" s="26"/>
      <c r="P57" s="26"/>
      <c r="Q57" s="26"/>
      <c r="R57" s="26"/>
      <c r="S57" s="26"/>
      <c r="T57" s="26"/>
      <c r="U57" s="26"/>
      <c r="V57" s="26"/>
      <c r="W57" s="26"/>
      <c r="X57" s="26"/>
      <c r="Y57" s="26"/>
      <c r="Z57" s="26"/>
      <c r="AA57" s="26"/>
      <c r="AB57" s="26"/>
      <c r="AC57" s="26"/>
      <c r="AD57" s="26"/>
      <c r="AE57" s="26"/>
      <c r="AF57" s="27"/>
    </row>
    <row r="58" spans="1:32" s="17" customFormat="1" ht="13.5" customHeight="1">
      <c r="A58" s="173"/>
      <c r="B58" s="212"/>
      <c r="C58" s="228" t="s">
        <v>90</v>
      </c>
      <c r="D58" s="228"/>
      <c r="E58" s="228"/>
      <c r="F58" s="228"/>
      <c r="G58" s="229"/>
      <c r="H58" s="75"/>
      <c r="I58" s="23"/>
      <c r="J58" s="23"/>
      <c r="K58" s="23"/>
      <c r="L58" s="23"/>
      <c r="M58" s="23"/>
      <c r="N58" s="76"/>
      <c r="O58" s="76"/>
      <c r="P58" s="76"/>
      <c r="Q58" s="76"/>
      <c r="R58" s="76"/>
      <c r="S58" s="76"/>
      <c r="T58" s="76"/>
      <c r="U58" s="76"/>
      <c r="V58" s="76"/>
      <c r="W58" s="76"/>
      <c r="X58" s="76"/>
      <c r="Y58" s="76"/>
      <c r="Z58" s="76"/>
      <c r="AA58" s="76"/>
      <c r="AB58" s="76"/>
      <c r="AC58" s="76"/>
      <c r="AD58" s="76"/>
      <c r="AE58" s="76"/>
      <c r="AF58" s="77"/>
    </row>
    <row r="59" spans="1:32" s="17" customFormat="1" ht="13.5" customHeight="1">
      <c r="A59" s="173"/>
      <c r="B59" s="212"/>
      <c r="C59" s="230"/>
      <c r="D59" s="231" t="s">
        <v>155</v>
      </c>
      <c r="E59" s="231"/>
      <c r="F59" s="231"/>
      <c r="G59" s="232"/>
      <c r="H59" s="75"/>
      <c r="I59" s="23"/>
      <c r="J59" s="23"/>
      <c r="K59" s="23"/>
      <c r="L59" s="23"/>
      <c r="M59" s="23" t="s">
        <v>178</v>
      </c>
      <c r="N59" s="76" t="s">
        <v>178</v>
      </c>
      <c r="O59" s="76"/>
      <c r="P59" s="76"/>
      <c r="Q59" s="76"/>
      <c r="R59" s="76"/>
      <c r="S59" s="76"/>
      <c r="T59" s="76"/>
      <c r="U59" s="76"/>
      <c r="V59" s="76"/>
      <c r="W59" s="76"/>
      <c r="X59" s="76"/>
      <c r="Y59" s="76"/>
      <c r="Z59" s="76"/>
      <c r="AA59" s="76"/>
      <c r="AB59" s="76"/>
      <c r="AC59" s="76"/>
      <c r="AD59" s="76"/>
      <c r="AE59" s="76"/>
      <c r="AF59" s="77"/>
    </row>
    <row r="60" spans="1:32" s="17" customFormat="1" ht="13.5" customHeight="1">
      <c r="A60" s="173"/>
      <c r="B60" s="212"/>
      <c r="C60" s="230"/>
      <c r="D60" s="231" t="s">
        <v>91</v>
      </c>
      <c r="E60" s="231"/>
      <c r="F60" s="231"/>
      <c r="G60" s="232"/>
      <c r="H60" s="75"/>
      <c r="I60" s="23"/>
      <c r="J60" s="23"/>
      <c r="K60" s="23"/>
      <c r="L60" s="23"/>
      <c r="M60" s="23"/>
      <c r="N60" s="76"/>
      <c r="O60" s="76" t="s">
        <v>177</v>
      </c>
      <c r="P60" s="76"/>
      <c r="Q60" s="76"/>
      <c r="R60" s="76"/>
      <c r="S60" s="76"/>
      <c r="T60" s="76"/>
      <c r="U60" s="76"/>
      <c r="V60" s="76"/>
      <c r="W60" s="76"/>
      <c r="X60" s="76"/>
      <c r="Y60" s="76"/>
      <c r="Z60" s="76"/>
      <c r="AA60" s="76"/>
      <c r="AB60" s="76"/>
      <c r="AC60" s="76"/>
      <c r="AD60" s="76"/>
      <c r="AE60" s="76"/>
      <c r="AF60" s="77"/>
    </row>
    <row r="61" spans="1:32" s="17" customFormat="1" ht="13.5" customHeight="1">
      <c r="A61" s="173"/>
      <c r="B61" s="212"/>
      <c r="C61" s="230"/>
      <c r="D61" s="231" t="s">
        <v>181</v>
      </c>
      <c r="E61" s="231"/>
      <c r="F61" s="231"/>
      <c r="G61" s="232"/>
      <c r="H61" s="75" t="s">
        <v>178</v>
      </c>
      <c r="I61" s="23"/>
      <c r="J61" s="23"/>
      <c r="K61" s="23"/>
      <c r="L61" s="23"/>
      <c r="M61" s="23"/>
      <c r="N61" s="76"/>
      <c r="O61" s="76"/>
      <c r="P61" s="76"/>
      <c r="Q61" s="76"/>
      <c r="R61" s="76"/>
      <c r="S61" s="76"/>
      <c r="T61" s="76"/>
      <c r="U61" s="76"/>
      <c r="V61" s="76"/>
      <c r="W61" s="76"/>
      <c r="X61" s="76"/>
      <c r="Y61" s="76"/>
      <c r="Z61" s="76"/>
      <c r="AA61" s="76"/>
      <c r="AB61" s="76"/>
      <c r="AC61" s="76"/>
      <c r="AD61" s="76"/>
      <c r="AE61" s="76"/>
      <c r="AF61" s="77"/>
    </row>
    <row r="62" spans="1:32" s="17" customFormat="1" ht="14.25" customHeight="1">
      <c r="A62" s="173"/>
      <c r="B62" s="212"/>
      <c r="C62" s="230"/>
      <c r="D62" s="233" t="s">
        <v>180</v>
      </c>
      <c r="E62" s="234"/>
      <c r="F62" s="234"/>
      <c r="G62" s="235"/>
      <c r="H62" s="75"/>
      <c r="I62" s="23" t="s">
        <v>178</v>
      </c>
      <c r="J62" s="23"/>
      <c r="K62" s="23"/>
      <c r="L62" s="23"/>
      <c r="M62" s="23"/>
      <c r="N62" s="90"/>
      <c r="O62" s="90"/>
      <c r="P62" s="76"/>
      <c r="Q62" s="76"/>
      <c r="R62" s="76"/>
      <c r="S62" s="76"/>
      <c r="T62" s="76"/>
      <c r="U62" s="76"/>
      <c r="V62" s="76"/>
      <c r="W62" s="76"/>
      <c r="X62" s="76"/>
      <c r="Y62" s="76"/>
      <c r="Z62" s="76"/>
      <c r="AA62" s="76"/>
      <c r="AB62" s="76"/>
      <c r="AC62" s="76"/>
      <c r="AD62" s="76"/>
      <c r="AE62" s="76"/>
      <c r="AF62" s="77"/>
    </row>
    <row r="63" spans="1:32" s="17" customFormat="1" ht="13.5" customHeight="1">
      <c r="A63" s="173"/>
      <c r="B63" s="212"/>
      <c r="C63" s="230"/>
      <c r="D63" s="233" t="s">
        <v>92</v>
      </c>
      <c r="E63" s="234"/>
      <c r="F63" s="234"/>
      <c r="G63" s="235"/>
      <c r="H63" s="75"/>
      <c r="I63" s="23"/>
      <c r="J63" s="76" t="s">
        <v>178</v>
      </c>
      <c r="K63" s="76"/>
      <c r="L63" s="76"/>
      <c r="M63" s="76"/>
      <c r="N63" s="76"/>
      <c r="O63" s="76"/>
      <c r="P63" s="90"/>
      <c r="Q63" s="76"/>
      <c r="R63" s="76"/>
      <c r="S63" s="76"/>
      <c r="T63" s="76"/>
      <c r="U63" s="76"/>
      <c r="V63" s="76"/>
      <c r="W63" s="76"/>
      <c r="X63" s="76"/>
      <c r="Y63" s="76"/>
      <c r="Z63" s="76"/>
      <c r="AA63" s="76"/>
      <c r="AB63" s="76"/>
      <c r="AC63" s="76"/>
      <c r="AD63" s="76"/>
      <c r="AE63" s="76"/>
      <c r="AF63" s="77"/>
    </row>
    <row r="64" spans="1:32" s="17" customFormat="1" ht="15.75" customHeight="1">
      <c r="A64" s="173"/>
      <c r="B64" s="212"/>
      <c r="C64" s="230"/>
      <c r="D64" s="233" t="s">
        <v>156</v>
      </c>
      <c r="E64" s="234"/>
      <c r="F64" s="234"/>
      <c r="G64" s="235"/>
      <c r="H64" s="75"/>
      <c r="I64" s="23"/>
      <c r="J64" s="76"/>
      <c r="K64" s="76" t="s">
        <v>178</v>
      </c>
      <c r="L64" s="76" t="s">
        <v>178</v>
      </c>
      <c r="M64" s="76"/>
      <c r="N64" s="76"/>
      <c r="O64" s="76"/>
      <c r="P64" s="76"/>
      <c r="Q64" s="90"/>
      <c r="R64" s="90"/>
      <c r="S64" s="76"/>
      <c r="T64" s="76"/>
      <c r="U64" s="76"/>
      <c r="V64" s="76"/>
      <c r="W64" s="76"/>
      <c r="X64" s="76"/>
      <c r="Y64" s="76"/>
      <c r="Z64" s="76"/>
      <c r="AA64" s="76"/>
      <c r="AB64" s="76"/>
      <c r="AC64" s="76"/>
      <c r="AD64" s="76"/>
      <c r="AE64" s="76"/>
      <c r="AF64" s="77"/>
    </row>
    <row r="65" spans="1:32" s="17" customFormat="1" ht="12" customHeight="1">
      <c r="A65" s="173"/>
      <c r="B65" s="212"/>
      <c r="C65" s="230"/>
      <c r="D65" s="231" t="s">
        <v>123</v>
      </c>
      <c r="E65" s="231"/>
      <c r="F65" s="231"/>
      <c r="G65" s="232"/>
      <c r="H65" s="75"/>
      <c r="I65" s="23"/>
      <c r="J65" s="76"/>
      <c r="K65" s="76"/>
      <c r="L65" s="76"/>
      <c r="M65" s="76"/>
      <c r="N65" s="76"/>
      <c r="O65" s="76"/>
      <c r="P65" s="76" t="s">
        <v>177</v>
      </c>
      <c r="Q65" s="76"/>
      <c r="R65" s="76"/>
      <c r="S65" s="90"/>
      <c r="T65" s="76"/>
      <c r="U65" s="76"/>
      <c r="V65" s="76"/>
      <c r="W65" s="76"/>
      <c r="X65" s="76"/>
      <c r="Y65" s="76"/>
      <c r="Z65" s="76"/>
      <c r="AA65" s="76"/>
      <c r="AB65" s="76"/>
      <c r="AC65" s="76"/>
      <c r="AD65" s="76"/>
      <c r="AE65" s="76"/>
      <c r="AF65" s="77"/>
    </row>
    <row r="66" spans="1:32" s="17" customFormat="1" ht="12" customHeight="1">
      <c r="A66" s="173"/>
      <c r="B66" s="212"/>
      <c r="C66" s="230"/>
      <c r="D66" s="233" t="s">
        <v>127</v>
      </c>
      <c r="E66" s="234"/>
      <c r="F66" s="234"/>
      <c r="G66" s="235"/>
      <c r="H66" s="75"/>
      <c r="I66" s="23"/>
      <c r="J66" s="76"/>
      <c r="K66" s="76"/>
      <c r="L66" s="76"/>
      <c r="M66" s="76"/>
      <c r="N66" s="76"/>
      <c r="O66" s="76"/>
      <c r="P66" s="76"/>
      <c r="Q66" s="76"/>
      <c r="R66" s="76" t="s">
        <v>177</v>
      </c>
      <c r="S66" s="92"/>
      <c r="T66" s="76"/>
      <c r="U66" s="76"/>
      <c r="V66" s="76"/>
      <c r="W66" s="76"/>
      <c r="X66" s="76"/>
      <c r="Y66" s="76"/>
      <c r="Z66" s="76"/>
      <c r="AA66" s="76"/>
      <c r="AB66" s="76"/>
      <c r="AC66" s="76"/>
      <c r="AD66" s="76"/>
      <c r="AE66" s="76"/>
      <c r="AF66" s="77"/>
    </row>
    <row r="67" spans="1:32" s="17" customFormat="1" ht="12" customHeight="1">
      <c r="A67" s="173"/>
      <c r="B67" s="212"/>
      <c r="C67" s="230"/>
      <c r="D67" s="233" t="s">
        <v>124</v>
      </c>
      <c r="E67" s="234"/>
      <c r="F67" s="234"/>
      <c r="G67" s="235"/>
      <c r="H67" s="75"/>
      <c r="I67" s="23"/>
      <c r="J67" s="76"/>
      <c r="K67" s="76"/>
      <c r="L67" s="76"/>
      <c r="M67" s="76"/>
      <c r="N67" s="76"/>
      <c r="O67" s="76"/>
      <c r="P67" s="76"/>
      <c r="Q67" s="76" t="s">
        <v>177</v>
      </c>
      <c r="R67" s="76"/>
      <c r="S67" s="101" t="s">
        <v>177</v>
      </c>
      <c r="T67" s="76"/>
      <c r="U67" s="76"/>
      <c r="V67" s="76"/>
      <c r="W67" s="76"/>
      <c r="X67" s="76"/>
      <c r="Y67" s="76"/>
      <c r="Z67" s="76"/>
      <c r="AA67" s="76"/>
      <c r="AB67" s="76"/>
      <c r="AC67" s="76"/>
      <c r="AD67" s="76"/>
      <c r="AE67" s="76"/>
      <c r="AF67" s="77"/>
    </row>
    <row r="68" spans="1:32" s="17" customFormat="1" ht="12" customHeight="1">
      <c r="A68" s="173"/>
      <c r="B68" s="212"/>
      <c r="C68" s="230"/>
      <c r="D68" s="233" t="s">
        <v>125</v>
      </c>
      <c r="E68" s="234"/>
      <c r="F68" s="234"/>
      <c r="G68" s="235"/>
      <c r="H68" s="75"/>
      <c r="I68" s="23"/>
      <c r="J68" s="76"/>
      <c r="K68" s="76"/>
      <c r="L68" s="76"/>
      <c r="M68" s="76"/>
      <c r="N68" s="76"/>
      <c r="O68" s="76"/>
      <c r="P68" s="76"/>
      <c r="Q68" s="76"/>
      <c r="R68" s="76"/>
      <c r="S68" s="92"/>
      <c r="T68" s="76" t="s">
        <v>177</v>
      </c>
      <c r="U68" s="76"/>
      <c r="V68" s="76"/>
      <c r="W68" s="76"/>
      <c r="X68" s="76"/>
      <c r="Y68" s="76"/>
      <c r="Z68" s="76"/>
      <c r="AA68" s="76"/>
      <c r="AB68" s="76"/>
      <c r="AC68" s="76"/>
      <c r="AD68" s="76"/>
      <c r="AE68" s="76"/>
      <c r="AF68" s="77"/>
    </row>
    <row r="69" spans="1:32" s="17" customFormat="1" ht="12" customHeight="1">
      <c r="A69" s="173"/>
      <c r="B69" s="212"/>
      <c r="C69" s="230"/>
      <c r="D69" s="233" t="s">
        <v>126</v>
      </c>
      <c r="E69" s="234"/>
      <c r="F69" s="234"/>
      <c r="G69" s="235"/>
      <c r="H69" s="75"/>
      <c r="I69" s="23"/>
      <c r="J69" s="76"/>
      <c r="K69" s="76"/>
      <c r="L69" s="76"/>
      <c r="M69" s="76"/>
      <c r="N69" s="76"/>
      <c r="O69" s="76"/>
      <c r="P69" s="76"/>
      <c r="Q69" s="76"/>
      <c r="R69" s="76"/>
      <c r="S69" s="76"/>
      <c r="T69" s="76"/>
      <c r="U69" s="76" t="s">
        <v>177</v>
      </c>
      <c r="V69" s="76"/>
      <c r="W69" s="76"/>
      <c r="X69" s="76"/>
      <c r="Y69" s="76"/>
      <c r="Z69" s="76"/>
      <c r="AA69" s="76"/>
      <c r="AB69" s="76"/>
      <c r="AC69" s="76"/>
      <c r="AD69" s="76"/>
      <c r="AE69" s="76"/>
      <c r="AF69" s="77"/>
    </row>
    <row r="70" spans="1:32" s="17" customFormat="1" ht="13.5" customHeight="1">
      <c r="A70" s="173"/>
      <c r="B70" s="212"/>
      <c r="C70" s="230"/>
      <c r="D70" s="231" t="s">
        <v>93</v>
      </c>
      <c r="E70" s="231"/>
      <c r="F70" s="231"/>
      <c r="G70" s="232"/>
      <c r="H70" s="75"/>
      <c r="I70" s="23"/>
      <c r="J70" s="76"/>
      <c r="K70" s="76"/>
      <c r="L70" s="76"/>
      <c r="M70" s="76"/>
      <c r="N70" s="76"/>
      <c r="O70" s="76"/>
      <c r="P70" s="76"/>
      <c r="Q70" s="76"/>
      <c r="R70" s="76"/>
      <c r="S70" s="76"/>
      <c r="T70" s="76"/>
      <c r="U70" s="76"/>
      <c r="V70" s="76" t="s">
        <v>177</v>
      </c>
      <c r="W70" s="76" t="s">
        <v>177</v>
      </c>
      <c r="X70" s="76"/>
      <c r="Y70" s="76"/>
      <c r="Z70" s="76"/>
      <c r="AA70" s="90"/>
      <c r="AB70" s="90"/>
      <c r="AC70" s="76"/>
      <c r="AD70" s="76"/>
      <c r="AE70" s="76"/>
      <c r="AF70" s="77"/>
    </row>
    <row r="71" spans="1:32" s="17" customFormat="1" ht="24" customHeight="1">
      <c r="A71" s="173"/>
      <c r="B71" s="212"/>
      <c r="C71" s="228" t="s">
        <v>207</v>
      </c>
      <c r="D71" s="228"/>
      <c r="E71" s="228"/>
      <c r="F71" s="228"/>
      <c r="G71" s="229"/>
      <c r="H71" s="75"/>
      <c r="I71" s="23"/>
      <c r="J71" s="76"/>
      <c r="K71" s="76"/>
      <c r="L71" s="76"/>
      <c r="M71" s="76"/>
      <c r="N71" s="76"/>
      <c r="O71" s="76"/>
      <c r="P71" s="76"/>
      <c r="Q71" s="76"/>
      <c r="R71" s="76"/>
      <c r="S71" s="76"/>
      <c r="T71" s="76"/>
      <c r="U71" s="76"/>
      <c r="V71" s="76"/>
      <c r="W71" s="76"/>
      <c r="X71" s="76"/>
      <c r="Y71" s="76"/>
      <c r="Z71" s="76"/>
      <c r="AA71" s="76"/>
      <c r="AB71" s="76"/>
      <c r="AC71" s="76"/>
      <c r="AD71" s="76"/>
      <c r="AE71" s="76"/>
      <c r="AF71" s="76"/>
    </row>
    <row r="72" spans="1:32" s="17" customFormat="1" ht="13.5" customHeight="1">
      <c r="A72" s="173"/>
      <c r="B72" s="212"/>
      <c r="C72" s="217"/>
      <c r="D72" s="162" t="s">
        <v>188</v>
      </c>
      <c r="E72" s="163"/>
      <c r="F72" s="163"/>
      <c r="G72" s="216"/>
      <c r="H72" s="75"/>
      <c r="I72" s="23"/>
      <c r="J72" s="76"/>
      <c r="K72" s="76"/>
      <c r="L72" s="76"/>
      <c r="M72" s="76"/>
      <c r="N72" s="76"/>
      <c r="O72" s="76"/>
      <c r="P72" s="76"/>
      <c r="Q72" s="76"/>
      <c r="R72" s="76"/>
      <c r="S72" s="76"/>
      <c r="T72" s="76"/>
      <c r="U72" s="76"/>
      <c r="V72" s="76"/>
      <c r="W72" s="76"/>
      <c r="X72" s="76"/>
      <c r="Y72" s="76"/>
      <c r="Z72" s="76"/>
      <c r="AA72" s="76" t="s">
        <v>178</v>
      </c>
      <c r="AB72" s="76" t="s">
        <v>178</v>
      </c>
      <c r="AC72" s="76"/>
      <c r="AD72" s="76"/>
      <c r="AE72" s="76"/>
      <c r="AF72" s="76"/>
    </row>
    <row r="73" spans="1:32" s="17" customFormat="1" ht="13.5" customHeight="1">
      <c r="A73" s="173"/>
      <c r="B73" s="212"/>
      <c r="C73" s="254"/>
      <c r="D73" s="162" t="s">
        <v>208</v>
      </c>
      <c r="E73" s="163"/>
      <c r="F73" s="163"/>
      <c r="G73" s="216"/>
      <c r="H73" s="75"/>
      <c r="I73" s="23"/>
      <c r="J73" s="76"/>
      <c r="K73" s="76"/>
      <c r="L73" s="76"/>
      <c r="M73" s="76"/>
      <c r="N73" s="76"/>
      <c r="O73" s="76"/>
      <c r="P73" s="76"/>
      <c r="Q73" s="76"/>
      <c r="R73" s="76"/>
      <c r="S73" s="76"/>
      <c r="T73" s="76"/>
      <c r="U73" s="76"/>
      <c r="V73" s="76"/>
      <c r="W73" s="76"/>
      <c r="X73" s="76" t="s">
        <v>177</v>
      </c>
      <c r="Y73" s="76" t="s">
        <v>177</v>
      </c>
      <c r="Z73" s="76" t="s">
        <v>177</v>
      </c>
      <c r="AA73" s="76"/>
      <c r="AB73" s="76"/>
      <c r="AC73" s="76"/>
      <c r="AD73" s="76"/>
      <c r="AE73" s="76"/>
      <c r="AF73" s="90"/>
    </row>
    <row r="74" spans="1:32" s="17" customFormat="1" ht="13.5" customHeight="1">
      <c r="A74" s="173"/>
      <c r="B74" s="212"/>
      <c r="C74" s="254"/>
      <c r="D74" s="162" t="s">
        <v>211</v>
      </c>
      <c r="E74" s="163"/>
      <c r="F74" s="163"/>
      <c r="G74" s="216"/>
      <c r="H74" s="75"/>
      <c r="I74" s="23"/>
      <c r="J74" s="76"/>
      <c r="K74" s="76"/>
      <c r="L74" s="76"/>
      <c r="M74" s="76"/>
      <c r="N74" s="76"/>
      <c r="O74" s="76"/>
      <c r="P74" s="76"/>
      <c r="Q74" s="76"/>
      <c r="R74" s="76"/>
      <c r="S74" s="76"/>
      <c r="T74" s="76"/>
      <c r="U74" s="76"/>
      <c r="V74" s="76"/>
      <c r="W74" s="76"/>
      <c r="X74" s="76" t="s">
        <v>177</v>
      </c>
      <c r="Y74" s="76" t="s">
        <v>177</v>
      </c>
      <c r="Z74" s="76" t="s">
        <v>177</v>
      </c>
      <c r="AA74" s="76" t="s">
        <v>178</v>
      </c>
      <c r="AB74" s="76" t="s">
        <v>178</v>
      </c>
      <c r="AC74" s="76"/>
      <c r="AD74" s="76"/>
      <c r="AE74" s="76"/>
      <c r="AF74" s="90"/>
    </row>
    <row r="75" spans="1:32" s="17" customFormat="1" ht="13.5" customHeight="1">
      <c r="A75" s="173"/>
      <c r="B75" s="212"/>
      <c r="C75" s="254"/>
      <c r="D75" s="162" t="s">
        <v>213</v>
      </c>
      <c r="E75" s="163"/>
      <c r="F75" s="163"/>
      <c r="G75" s="216"/>
      <c r="H75" s="75"/>
      <c r="I75" s="23"/>
      <c r="J75" s="76"/>
      <c r="K75" s="76"/>
      <c r="L75" s="76"/>
      <c r="M75" s="76"/>
      <c r="N75" s="76"/>
      <c r="O75" s="76"/>
      <c r="P75" s="76"/>
      <c r="Q75" s="76"/>
      <c r="R75" s="76"/>
      <c r="S75" s="76"/>
      <c r="T75" s="76"/>
      <c r="U75" s="76"/>
      <c r="V75" s="76"/>
      <c r="W75" s="76"/>
      <c r="X75" s="76" t="s">
        <v>177</v>
      </c>
      <c r="Y75" s="76" t="s">
        <v>177</v>
      </c>
      <c r="Z75" s="76" t="s">
        <v>177</v>
      </c>
      <c r="AA75" s="76"/>
      <c r="AB75" s="76" t="s">
        <v>178</v>
      </c>
      <c r="AC75" s="76"/>
      <c r="AD75" s="76"/>
      <c r="AE75" s="76"/>
      <c r="AF75" s="90"/>
    </row>
    <row r="76" spans="1:32" s="17" customFormat="1" ht="13.5" customHeight="1">
      <c r="A76" s="173"/>
      <c r="B76" s="212"/>
      <c r="C76" s="254"/>
      <c r="D76" s="162" t="s">
        <v>194</v>
      </c>
      <c r="E76" s="163"/>
      <c r="F76" s="163"/>
      <c r="G76" s="216"/>
      <c r="H76" s="75"/>
      <c r="I76" s="23"/>
      <c r="J76" s="76"/>
      <c r="K76" s="76"/>
      <c r="L76" s="76"/>
      <c r="M76" s="76"/>
      <c r="N76" s="76"/>
      <c r="O76" s="76"/>
      <c r="P76" s="76"/>
      <c r="Q76" s="76"/>
      <c r="R76" s="76"/>
      <c r="S76" s="76"/>
      <c r="T76" s="76"/>
      <c r="U76" s="76"/>
      <c r="V76" s="76"/>
      <c r="W76" s="76"/>
      <c r="X76" s="76"/>
      <c r="Y76" s="76"/>
      <c r="Z76" s="76"/>
      <c r="AA76" s="76" t="s">
        <v>178</v>
      </c>
      <c r="AB76" s="76"/>
      <c r="AC76" s="76"/>
      <c r="AD76" s="76"/>
      <c r="AE76" s="76"/>
      <c r="AF76" s="90"/>
    </row>
    <row r="77" spans="1:32" s="17" customFormat="1" ht="13.5" customHeight="1">
      <c r="A77" s="173"/>
      <c r="B77" s="212"/>
      <c r="C77" s="254"/>
      <c r="D77" s="162" t="s">
        <v>215</v>
      </c>
      <c r="E77" s="163"/>
      <c r="F77" s="163"/>
      <c r="G77" s="216"/>
      <c r="H77" s="75"/>
      <c r="I77" s="23"/>
      <c r="J77" s="76"/>
      <c r="K77" s="76"/>
      <c r="L77" s="76"/>
      <c r="M77" s="76"/>
      <c r="N77" s="76"/>
      <c r="O77" s="76"/>
      <c r="P77" s="76"/>
      <c r="Q77" s="76"/>
      <c r="R77" s="76"/>
      <c r="S77" s="76"/>
      <c r="T77" s="76"/>
      <c r="U77" s="76"/>
      <c r="V77" s="76"/>
      <c r="W77" s="76"/>
      <c r="X77" s="76" t="s">
        <v>177</v>
      </c>
      <c r="Y77" s="76" t="s">
        <v>177</v>
      </c>
      <c r="Z77" s="76" t="s">
        <v>177</v>
      </c>
      <c r="AA77" s="76" t="s">
        <v>178</v>
      </c>
      <c r="AB77" s="76" t="s">
        <v>178</v>
      </c>
      <c r="AC77" s="76"/>
      <c r="AD77" s="76"/>
      <c r="AE77" s="76"/>
      <c r="AF77" s="90"/>
    </row>
    <row r="78" spans="1:32" s="17" customFormat="1" ht="13.5" customHeight="1">
      <c r="A78" s="173"/>
      <c r="B78" s="212"/>
      <c r="C78" s="254"/>
      <c r="D78" s="162" t="s">
        <v>217</v>
      </c>
      <c r="E78" s="163"/>
      <c r="F78" s="163"/>
      <c r="G78" s="216"/>
      <c r="H78" s="75"/>
      <c r="I78" s="23"/>
      <c r="J78" s="76"/>
      <c r="K78" s="76"/>
      <c r="L78" s="76"/>
      <c r="M78" s="76"/>
      <c r="N78" s="76"/>
      <c r="O78" s="76"/>
      <c r="P78" s="76"/>
      <c r="Q78" s="76"/>
      <c r="R78" s="76"/>
      <c r="S78" s="76"/>
      <c r="T78" s="76"/>
      <c r="U78" s="76"/>
      <c r="V78" s="76"/>
      <c r="W78" s="76"/>
      <c r="X78" s="76" t="s">
        <v>177</v>
      </c>
      <c r="Y78" s="76" t="s">
        <v>177</v>
      </c>
      <c r="Z78" s="76" t="s">
        <v>177</v>
      </c>
      <c r="AA78" s="76" t="s">
        <v>178</v>
      </c>
      <c r="AB78" s="76" t="s">
        <v>178</v>
      </c>
      <c r="AC78" s="76"/>
      <c r="AD78" s="76"/>
      <c r="AE78" s="76"/>
      <c r="AF78" s="90"/>
    </row>
    <row r="79" spans="1:32" s="17" customFormat="1" ht="13.5" customHeight="1">
      <c r="A79" s="173"/>
      <c r="B79" s="212"/>
      <c r="C79" s="254"/>
      <c r="D79" s="162" t="s">
        <v>218</v>
      </c>
      <c r="E79" s="163"/>
      <c r="F79" s="163"/>
      <c r="G79" s="216"/>
      <c r="H79" s="75"/>
      <c r="I79" s="23"/>
      <c r="J79" s="76"/>
      <c r="K79" s="76"/>
      <c r="L79" s="76"/>
      <c r="M79" s="76"/>
      <c r="N79" s="76"/>
      <c r="O79" s="76"/>
      <c r="P79" s="76"/>
      <c r="Q79" s="76"/>
      <c r="R79" s="76"/>
      <c r="S79" s="76"/>
      <c r="T79" s="76"/>
      <c r="U79" s="76"/>
      <c r="V79" s="76"/>
      <c r="W79" s="76"/>
      <c r="X79" s="76" t="s">
        <v>177</v>
      </c>
      <c r="Y79" s="76" t="s">
        <v>177</v>
      </c>
      <c r="Z79" s="76" t="s">
        <v>177</v>
      </c>
      <c r="AA79" s="76" t="s">
        <v>178</v>
      </c>
      <c r="AB79" s="76" t="s">
        <v>178</v>
      </c>
      <c r="AC79" s="76"/>
      <c r="AD79" s="76"/>
      <c r="AE79" s="76"/>
      <c r="AF79" s="90"/>
    </row>
    <row r="80" spans="1:32" s="17" customFormat="1" ht="13.5" customHeight="1">
      <c r="A80" s="173"/>
      <c r="B80" s="212"/>
      <c r="C80" s="254"/>
      <c r="D80" s="162" t="s">
        <v>219</v>
      </c>
      <c r="E80" s="163"/>
      <c r="F80" s="163"/>
      <c r="G80" s="216"/>
      <c r="H80" s="75"/>
      <c r="I80" s="23"/>
      <c r="J80" s="76"/>
      <c r="K80" s="76"/>
      <c r="L80" s="76"/>
      <c r="M80" s="76"/>
      <c r="N80" s="76"/>
      <c r="O80" s="76"/>
      <c r="P80" s="76"/>
      <c r="Q80" s="76"/>
      <c r="R80" s="76"/>
      <c r="S80" s="76"/>
      <c r="T80" s="76"/>
      <c r="U80" s="76"/>
      <c r="V80" s="76"/>
      <c r="W80" s="76"/>
      <c r="X80" s="76" t="s">
        <v>177</v>
      </c>
      <c r="Y80" s="76" t="s">
        <v>177</v>
      </c>
      <c r="Z80" s="76" t="s">
        <v>177</v>
      </c>
      <c r="AA80" s="76" t="s">
        <v>178</v>
      </c>
      <c r="AB80" s="76" t="s">
        <v>178</v>
      </c>
      <c r="AC80" s="76"/>
      <c r="AD80" s="76"/>
      <c r="AE80" s="76"/>
      <c r="AF80" s="90"/>
    </row>
    <row r="81" spans="1:32" s="17" customFormat="1" ht="13.5" customHeight="1">
      <c r="A81" s="173"/>
      <c r="B81" s="212"/>
      <c r="C81" s="254"/>
      <c r="D81" s="162" t="s">
        <v>189</v>
      </c>
      <c r="E81" s="163"/>
      <c r="F81" s="163"/>
      <c r="G81" s="216"/>
      <c r="H81" s="75"/>
      <c r="I81" s="23"/>
      <c r="J81" s="76"/>
      <c r="K81" s="76"/>
      <c r="L81" s="76"/>
      <c r="M81" s="76"/>
      <c r="N81" s="76"/>
      <c r="O81" s="76"/>
      <c r="P81" s="76"/>
      <c r="Q81" s="76"/>
      <c r="R81" s="76"/>
      <c r="S81" s="76"/>
      <c r="T81" s="76"/>
      <c r="U81" s="76"/>
      <c r="V81" s="76"/>
      <c r="W81" s="76"/>
      <c r="X81" s="76"/>
      <c r="Y81" s="76"/>
      <c r="Z81" s="76"/>
      <c r="AA81" s="76" t="s">
        <v>178</v>
      </c>
      <c r="AB81" s="76"/>
      <c r="AC81" s="76"/>
      <c r="AD81" s="76"/>
      <c r="AE81" s="76"/>
      <c r="AF81" s="90"/>
    </row>
    <row r="82" spans="1:32" s="17" customFormat="1" ht="13.5" customHeight="1">
      <c r="A82" s="173"/>
      <c r="B82" s="212"/>
      <c r="C82" s="254"/>
      <c r="D82" s="162" t="s">
        <v>221</v>
      </c>
      <c r="E82" s="163"/>
      <c r="F82" s="163"/>
      <c r="G82" s="216"/>
      <c r="H82" s="75"/>
      <c r="I82" s="23"/>
      <c r="J82" s="76"/>
      <c r="K82" s="76"/>
      <c r="L82" s="76"/>
      <c r="M82" s="76"/>
      <c r="N82" s="76"/>
      <c r="O82" s="76"/>
      <c r="P82" s="76"/>
      <c r="Q82" s="76"/>
      <c r="R82" s="76"/>
      <c r="S82" s="76"/>
      <c r="T82" s="76"/>
      <c r="U82" s="76"/>
      <c r="V82" s="76"/>
      <c r="W82" s="76"/>
      <c r="X82" s="76" t="s">
        <v>177</v>
      </c>
      <c r="Y82" s="76" t="s">
        <v>177</v>
      </c>
      <c r="Z82" s="76" t="s">
        <v>177</v>
      </c>
      <c r="AA82" s="76"/>
      <c r="AB82" s="76" t="s">
        <v>178</v>
      </c>
      <c r="AC82" s="76"/>
      <c r="AD82" s="76"/>
      <c r="AE82" s="76"/>
      <c r="AF82" s="90"/>
    </row>
    <row r="83" spans="1:32" s="17" customFormat="1" ht="13.5" customHeight="1">
      <c r="A83" s="173"/>
      <c r="B83" s="212"/>
      <c r="C83" s="254"/>
      <c r="D83" s="162" t="s">
        <v>222</v>
      </c>
      <c r="E83" s="163"/>
      <c r="F83" s="163"/>
      <c r="G83" s="216"/>
      <c r="H83" s="75"/>
      <c r="I83" s="23"/>
      <c r="J83" s="76"/>
      <c r="K83" s="76"/>
      <c r="L83" s="76"/>
      <c r="M83" s="76"/>
      <c r="N83" s="76"/>
      <c r="O83" s="76"/>
      <c r="P83" s="76"/>
      <c r="Q83" s="76"/>
      <c r="R83" s="76"/>
      <c r="S83" s="76"/>
      <c r="T83" s="76"/>
      <c r="U83" s="76"/>
      <c r="V83" s="76"/>
      <c r="W83" s="76"/>
      <c r="X83" s="76"/>
      <c r="Y83" s="76"/>
      <c r="Z83" s="76"/>
      <c r="AA83" s="76" t="s">
        <v>178</v>
      </c>
      <c r="AB83" s="76" t="s">
        <v>178</v>
      </c>
      <c r="AC83" s="76"/>
      <c r="AD83" s="76"/>
      <c r="AE83" s="76"/>
      <c r="AF83" s="90"/>
    </row>
    <row r="84" spans="1:32" s="17" customFormat="1" ht="13.5" customHeight="1">
      <c r="A84" s="173"/>
      <c r="B84" s="212"/>
      <c r="C84" s="254"/>
      <c r="D84" s="162" t="s">
        <v>190</v>
      </c>
      <c r="E84" s="163"/>
      <c r="F84" s="163"/>
      <c r="G84" s="216"/>
      <c r="H84" s="75"/>
      <c r="I84" s="23"/>
      <c r="J84" s="76"/>
      <c r="K84" s="76"/>
      <c r="L84" s="76"/>
      <c r="M84" s="76"/>
      <c r="N84" s="76"/>
      <c r="O84" s="76"/>
      <c r="P84" s="76"/>
      <c r="Q84" s="76"/>
      <c r="R84" s="76"/>
      <c r="S84" s="76"/>
      <c r="T84" s="76"/>
      <c r="U84" s="76"/>
      <c r="V84" s="76"/>
      <c r="W84" s="76"/>
      <c r="X84" s="76"/>
      <c r="Y84" s="76"/>
      <c r="Z84" s="76"/>
      <c r="AA84" s="76" t="s">
        <v>178</v>
      </c>
      <c r="AB84" s="76" t="s">
        <v>178</v>
      </c>
      <c r="AC84" s="76"/>
      <c r="AD84" s="76"/>
      <c r="AE84" s="76"/>
      <c r="AF84" s="90"/>
    </row>
    <row r="85" spans="1:32" s="17" customFormat="1" ht="13.5" customHeight="1">
      <c r="A85" s="173"/>
      <c r="B85" s="212"/>
      <c r="C85" s="254"/>
      <c r="D85" s="162" t="s">
        <v>223</v>
      </c>
      <c r="E85" s="163"/>
      <c r="F85" s="163"/>
      <c r="G85" s="216"/>
      <c r="H85" s="75"/>
      <c r="I85" s="23"/>
      <c r="J85" s="76"/>
      <c r="K85" s="76"/>
      <c r="L85" s="76"/>
      <c r="M85" s="76"/>
      <c r="N85" s="76"/>
      <c r="O85" s="76"/>
      <c r="P85" s="76"/>
      <c r="Q85" s="76"/>
      <c r="R85" s="76"/>
      <c r="S85" s="76"/>
      <c r="T85" s="76"/>
      <c r="U85" s="76"/>
      <c r="V85" s="76"/>
      <c r="W85" s="76"/>
      <c r="X85" s="23" t="s">
        <v>178</v>
      </c>
      <c r="Y85" s="23" t="s">
        <v>178</v>
      </c>
      <c r="Z85" s="23" t="s">
        <v>178</v>
      </c>
      <c r="AA85" s="76"/>
      <c r="AB85" s="76"/>
      <c r="AC85" s="76"/>
      <c r="AD85" s="78"/>
      <c r="AE85" s="78"/>
      <c r="AF85" s="90"/>
    </row>
    <row r="86" spans="1:32" s="17" customFormat="1" ht="13.5" customHeight="1">
      <c r="A86" s="173"/>
      <c r="B86" s="212"/>
      <c r="C86" s="254"/>
      <c r="D86" s="162" t="s">
        <v>227</v>
      </c>
      <c r="E86" s="163"/>
      <c r="F86" s="163"/>
      <c r="G86" s="216"/>
      <c r="H86" s="75"/>
      <c r="I86" s="23"/>
      <c r="J86" s="76"/>
      <c r="K86" s="76"/>
      <c r="L86" s="76"/>
      <c r="M86" s="76"/>
      <c r="N86" s="76"/>
      <c r="O86" s="76"/>
      <c r="P86" s="76"/>
      <c r="Q86" s="76"/>
      <c r="R86" s="76"/>
      <c r="S86" s="76"/>
      <c r="T86" s="76"/>
      <c r="U86" s="76"/>
      <c r="V86" s="76"/>
      <c r="W86" s="76"/>
      <c r="X86" s="76" t="s">
        <v>177</v>
      </c>
      <c r="Y86" s="76"/>
      <c r="Z86" s="76"/>
      <c r="AA86" s="76" t="s">
        <v>178</v>
      </c>
      <c r="AB86" s="76"/>
      <c r="AC86" s="90"/>
      <c r="AD86" s="23"/>
      <c r="AE86" s="23"/>
      <c r="AF86" s="78"/>
    </row>
    <row r="87" spans="1:32" s="17" customFormat="1" ht="12.75" customHeight="1">
      <c r="A87" s="173"/>
      <c r="B87" s="212"/>
      <c r="C87" s="254"/>
      <c r="D87" s="162" t="s">
        <v>225</v>
      </c>
      <c r="E87" s="163"/>
      <c r="F87" s="163"/>
      <c r="G87" s="216"/>
      <c r="H87" s="75"/>
      <c r="I87" s="23"/>
      <c r="J87" s="76"/>
      <c r="K87" s="76"/>
      <c r="L87" s="76"/>
      <c r="M87" s="76"/>
      <c r="N87" s="76"/>
      <c r="O87" s="76"/>
      <c r="P87" s="76"/>
      <c r="Q87" s="76"/>
      <c r="R87" s="76"/>
      <c r="S87" s="76"/>
      <c r="T87" s="76"/>
      <c r="U87" s="76"/>
      <c r="V87" s="76"/>
      <c r="W87" s="76"/>
      <c r="X87" s="76"/>
      <c r="Y87" s="76"/>
      <c r="Z87" s="76" t="s">
        <v>177</v>
      </c>
      <c r="AA87" s="76"/>
      <c r="AB87" s="76"/>
      <c r="AC87" s="76"/>
      <c r="AD87" s="76"/>
      <c r="AE87" s="76"/>
      <c r="AF87" s="78"/>
    </row>
    <row r="88" spans="1:32" s="17" customFormat="1" ht="11.25" customHeight="1">
      <c r="A88" s="173"/>
      <c r="B88" s="212"/>
      <c r="C88" s="254"/>
      <c r="D88" s="160" t="s">
        <v>228</v>
      </c>
      <c r="E88" s="161"/>
      <c r="F88" s="161"/>
      <c r="G88" s="255"/>
      <c r="H88" s="75"/>
      <c r="I88" s="23"/>
      <c r="J88" s="76"/>
      <c r="K88" s="76"/>
      <c r="L88" s="76"/>
      <c r="M88" s="76"/>
      <c r="N88" s="76"/>
      <c r="O88" s="76"/>
      <c r="P88" s="76"/>
      <c r="Q88" s="76"/>
      <c r="R88" s="76"/>
      <c r="S88" s="76"/>
      <c r="T88" s="76"/>
      <c r="U88" s="76"/>
      <c r="V88" s="76"/>
      <c r="W88" s="76"/>
      <c r="X88" s="76"/>
      <c r="Y88" s="76" t="s">
        <v>177</v>
      </c>
      <c r="Z88" s="76" t="s">
        <v>177</v>
      </c>
      <c r="AA88" s="76"/>
      <c r="AB88" s="76" t="s">
        <v>177</v>
      </c>
      <c r="AC88" s="76"/>
      <c r="AD88" s="76"/>
      <c r="AE88" s="76"/>
      <c r="AF88" s="78"/>
    </row>
    <row r="89" spans="1:32" s="17" customFormat="1" ht="11.25" customHeight="1">
      <c r="A89" s="173"/>
      <c r="B89" s="212"/>
      <c r="C89" s="256" t="s">
        <v>149</v>
      </c>
      <c r="D89" s="257"/>
      <c r="E89" s="257"/>
      <c r="F89" s="257"/>
      <c r="G89" s="258"/>
      <c r="H89" s="97"/>
      <c r="I89" s="23"/>
      <c r="J89" s="76"/>
      <c r="K89" s="76"/>
      <c r="L89" s="76"/>
      <c r="M89" s="76"/>
      <c r="N89" s="76"/>
      <c r="O89" s="76"/>
      <c r="P89" s="76"/>
      <c r="Q89" s="76"/>
      <c r="R89" s="76"/>
      <c r="S89" s="76"/>
      <c r="T89" s="76"/>
      <c r="U89" s="76"/>
      <c r="V89" s="76"/>
      <c r="W89" s="76"/>
      <c r="X89" s="76"/>
      <c r="Y89" s="76"/>
      <c r="Z89" s="76"/>
      <c r="AA89" s="76"/>
      <c r="AB89" s="76"/>
      <c r="AC89" s="76"/>
      <c r="AD89" s="76"/>
      <c r="AE89" s="76"/>
      <c r="AF89" s="96"/>
    </row>
    <row r="90" spans="1:32" s="17" customFormat="1" ht="13.5" customHeight="1">
      <c r="A90" s="173"/>
      <c r="B90" s="212"/>
      <c r="C90" s="217"/>
      <c r="D90" s="256" t="s">
        <v>150</v>
      </c>
      <c r="E90" s="257"/>
      <c r="F90" s="257"/>
      <c r="G90" s="258"/>
      <c r="H90" s="97"/>
      <c r="I90" s="23"/>
      <c r="J90" s="76"/>
      <c r="K90" s="76"/>
      <c r="L90" s="76"/>
      <c r="M90" s="76"/>
      <c r="N90" s="76"/>
      <c r="O90" s="76"/>
      <c r="P90" s="76"/>
      <c r="Q90" s="76"/>
      <c r="R90" s="76"/>
      <c r="S90" s="76"/>
      <c r="T90" s="76"/>
      <c r="U90" s="76"/>
      <c r="V90" s="76"/>
      <c r="W90" s="76"/>
      <c r="X90" s="76" t="s">
        <v>177</v>
      </c>
      <c r="Y90" s="76" t="s">
        <v>177</v>
      </c>
      <c r="Z90" s="76" t="s">
        <v>177</v>
      </c>
      <c r="AA90" s="76" t="s">
        <v>178</v>
      </c>
      <c r="AB90" s="76" t="s">
        <v>178</v>
      </c>
      <c r="AC90" s="76"/>
      <c r="AD90" s="76"/>
      <c r="AE90" s="76"/>
      <c r="AF90" s="77"/>
    </row>
    <row r="91" spans="1:32" s="17" customFormat="1" ht="13.5" customHeight="1" thickBot="1">
      <c r="A91" s="173"/>
      <c r="B91" s="212"/>
      <c r="C91" s="259"/>
      <c r="D91" s="257" t="s">
        <v>151</v>
      </c>
      <c r="E91" s="257"/>
      <c r="F91" s="257"/>
      <c r="G91" s="258"/>
      <c r="H91" s="97"/>
      <c r="I91" s="23"/>
      <c r="J91" s="76"/>
      <c r="K91" s="76"/>
      <c r="L91" s="76"/>
      <c r="M91" s="76"/>
      <c r="N91" s="76"/>
      <c r="O91" s="76"/>
      <c r="P91" s="76"/>
      <c r="Q91" s="76"/>
      <c r="R91" s="76"/>
      <c r="S91" s="76"/>
      <c r="T91" s="76"/>
      <c r="U91" s="76"/>
      <c r="V91" s="76"/>
      <c r="W91" s="76"/>
      <c r="X91" s="76"/>
      <c r="Y91" s="76"/>
      <c r="Z91" s="76"/>
      <c r="AA91" s="76"/>
      <c r="AB91" s="76"/>
      <c r="AC91" s="76" t="s">
        <v>177</v>
      </c>
      <c r="AD91" s="76"/>
      <c r="AE91" s="76"/>
      <c r="AF91" s="77"/>
    </row>
    <row r="92" spans="1:32" s="17" customFormat="1" ht="24" customHeight="1">
      <c r="A92" s="164" t="s">
        <v>94</v>
      </c>
      <c r="B92" s="166"/>
      <c r="C92" s="214"/>
      <c r="D92" s="167"/>
      <c r="E92" s="167"/>
      <c r="F92" s="168"/>
      <c r="G92" s="35" t="s">
        <v>95</v>
      </c>
      <c r="H92" s="36" t="s">
        <v>52</v>
      </c>
      <c r="I92" s="37" t="s">
        <v>52</v>
      </c>
      <c r="J92" s="37" t="s">
        <v>52</v>
      </c>
      <c r="K92" s="37" t="s">
        <v>52</v>
      </c>
      <c r="L92" s="37" t="s">
        <v>52</v>
      </c>
      <c r="M92" s="37" t="s">
        <v>52</v>
      </c>
      <c r="N92" s="37" t="s">
        <v>52</v>
      </c>
      <c r="O92" s="37" t="s">
        <v>52</v>
      </c>
      <c r="P92" s="37" t="s">
        <v>52</v>
      </c>
      <c r="Q92" s="37" t="s">
        <v>52</v>
      </c>
      <c r="R92" s="37" t="s">
        <v>52</v>
      </c>
      <c r="S92" s="37" t="s">
        <v>52</v>
      </c>
      <c r="T92" s="37" t="s">
        <v>52</v>
      </c>
      <c r="U92" s="37" t="s">
        <v>52</v>
      </c>
      <c r="V92" s="37" t="s">
        <v>52</v>
      </c>
      <c r="W92" s="37" t="s">
        <v>52</v>
      </c>
      <c r="X92" s="37" t="s">
        <v>52</v>
      </c>
      <c r="Y92" s="37" t="s">
        <v>52</v>
      </c>
      <c r="Z92" s="37" t="s">
        <v>52</v>
      </c>
      <c r="AA92" s="37" t="s">
        <v>52</v>
      </c>
      <c r="AB92" s="37" t="s">
        <v>52</v>
      </c>
      <c r="AC92" s="37" t="s">
        <v>53</v>
      </c>
      <c r="AD92" s="37"/>
      <c r="AE92" s="37"/>
      <c r="AF92" s="38"/>
    </row>
    <row r="93" spans="1:32" s="17" customFormat="1" ht="27" customHeight="1">
      <c r="A93" s="165"/>
      <c r="B93" s="169"/>
      <c r="C93" s="170"/>
      <c r="D93" s="170"/>
      <c r="E93" s="170"/>
      <c r="F93" s="171"/>
      <c r="G93" s="39" t="s">
        <v>96</v>
      </c>
      <c r="H93" s="40" t="s">
        <v>176</v>
      </c>
      <c r="I93" s="40" t="s">
        <v>176</v>
      </c>
      <c r="J93" s="40" t="s">
        <v>176</v>
      </c>
      <c r="K93" s="40" t="s">
        <v>176</v>
      </c>
      <c r="L93" s="40" t="s">
        <v>176</v>
      </c>
      <c r="M93" s="40" t="s">
        <v>176</v>
      </c>
      <c r="N93" s="40" t="s">
        <v>176</v>
      </c>
      <c r="O93" s="40" t="s">
        <v>176</v>
      </c>
      <c r="P93" s="40" t="s">
        <v>176</v>
      </c>
      <c r="Q93" s="40" t="s">
        <v>176</v>
      </c>
      <c r="R93" s="40" t="s">
        <v>176</v>
      </c>
      <c r="S93" s="40" t="s">
        <v>176</v>
      </c>
      <c r="T93" s="40" t="s">
        <v>176</v>
      </c>
      <c r="U93" s="40" t="s">
        <v>176</v>
      </c>
      <c r="V93" s="40" t="s">
        <v>176</v>
      </c>
      <c r="W93" s="40" t="s">
        <v>176</v>
      </c>
      <c r="X93" s="40" t="s">
        <v>176</v>
      </c>
      <c r="Y93" s="40" t="s">
        <v>176</v>
      </c>
      <c r="Z93" s="40" t="s">
        <v>176</v>
      </c>
      <c r="AA93" s="40" t="s">
        <v>176</v>
      </c>
      <c r="AB93" s="40" t="s">
        <v>176</v>
      </c>
      <c r="AC93" s="40" t="s">
        <v>176</v>
      </c>
      <c r="AD93" s="88"/>
      <c r="AE93" s="88"/>
      <c r="AF93" s="42"/>
    </row>
    <row r="94" spans="1:32" s="17" customFormat="1" ht="27" customHeight="1">
      <c r="A94" s="165"/>
      <c r="B94" s="169"/>
      <c r="C94" s="170"/>
      <c r="D94" s="170"/>
      <c r="E94" s="170"/>
      <c r="F94" s="171"/>
      <c r="G94" s="39" t="s">
        <v>97</v>
      </c>
      <c r="H94" s="43">
        <v>43703</v>
      </c>
      <c r="I94" s="43">
        <v>43703</v>
      </c>
      <c r="J94" s="43">
        <v>43703</v>
      </c>
      <c r="K94" s="43">
        <v>43703</v>
      </c>
      <c r="L94" s="43">
        <v>43703</v>
      </c>
      <c r="M94" s="43">
        <v>43703</v>
      </c>
      <c r="N94" s="43">
        <v>43703</v>
      </c>
      <c r="O94" s="43">
        <v>43703</v>
      </c>
      <c r="P94" s="43">
        <v>43703</v>
      </c>
      <c r="Q94" s="43">
        <v>43703</v>
      </c>
      <c r="R94" s="43">
        <v>43703</v>
      </c>
      <c r="S94" s="43">
        <v>43703</v>
      </c>
      <c r="T94" s="43">
        <v>43703</v>
      </c>
      <c r="U94" s="43">
        <v>43703</v>
      </c>
      <c r="V94" s="43">
        <v>43703</v>
      </c>
      <c r="W94" s="43">
        <v>43703</v>
      </c>
      <c r="X94" s="43">
        <v>43703</v>
      </c>
      <c r="Y94" s="43">
        <v>43703</v>
      </c>
      <c r="Z94" s="43">
        <v>43703</v>
      </c>
      <c r="AA94" s="43">
        <v>43703</v>
      </c>
      <c r="AB94" s="43">
        <v>43703</v>
      </c>
      <c r="AC94" s="43">
        <v>43703</v>
      </c>
      <c r="AD94" s="44"/>
      <c r="AE94" s="44"/>
      <c r="AF94" s="45"/>
    </row>
    <row r="95" spans="1:32" s="17" customFormat="1" ht="24.75" customHeight="1">
      <c r="A95" s="165"/>
      <c r="B95" s="169"/>
      <c r="C95" s="170"/>
      <c r="D95" s="170"/>
      <c r="E95" s="170"/>
      <c r="F95" s="171"/>
      <c r="G95" s="93" t="s">
        <v>98</v>
      </c>
      <c r="H95" s="40" t="s">
        <v>157</v>
      </c>
      <c r="I95" s="40" t="s">
        <v>157</v>
      </c>
      <c r="J95" s="40" t="s">
        <v>157</v>
      </c>
      <c r="K95" s="40" t="s">
        <v>157</v>
      </c>
      <c r="L95" s="40" t="s">
        <v>157</v>
      </c>
      <c r="M95" s="40" t="s">
        <v>157</v>
      </c>
      <c r="N95" s="40" t="s">
        <v>157</v>
      </c>
      <c r="O95" s="40" t="s">
        <v>157</v>
      </c>
      <c r="P95" s="40" t="s">
        <v>157</v>
      </c>
      <c r="Q95" s="40" t="s">
        <v>157</v>
      </c>
      <c r="R95" s="40" t="s">
        <v>157</v>
      </c>
      <c r="S95" s="40" t="s">
        <v>157</v>
      </c>
      <c r="T95" s="40" t="s">
        <v>157</v>
      </c>
      <c r="U95" s="40" t="s">
        <v>157</v>
      </c>
      <c r="V95" s="40" t="s">
        <v>157</v>
      </c>
      <c r="W95" s="40" t="s">
        <v>157</v>
      </c>
      <c r="X95" s="40" t="s">
        <v>157</v>
      </c>
      <c r="Y95" s="40" t="s">
        <v>157</v>
      </c>
      <c r="Z95" s="40" t="s">
        <v>157</v>
      </c>
      <c r="AA95" s="40" t="s">
        <v>157</v>
      </c>
      <c r="AB95" s="40" t="s">
        <v>157</v>
      </c>
      <c r="AC95" s="40" t="s">
        <v>157</v>
      </c>
      <c r="AD95" s="88"/>
      <c r="AE95" s="88"/>
      <c r="AF95" s="42"/>
    </row>
    <row r="96" spans="1:32" s="17" customFormat="1" ht="24.75" customHeight="1">
      <c r="A96" s="204" t="s">
        <v>99</v>
      </c>
      <c r="B96" s="249" t="s">
        <v>100</v>
      </c>
      <c r="C96" s="250"/>
      <c r="D96" s="250"/>
      <c r="E96" s="251"/>
      <c r="F96" s="207"/>
      <c r="G96" s="208"/>
      <c r="H96" s="60"/>
      <c r="I96" s="94"/>
      <c r="J96" s="94"/>
      <c r="K96" s="94"/>
      <c r="L96" s="94"/>
      <c r="M96" s="94"/>
      <c r="N96" s="94"/>
      <c r="O96" s="94"/>
      <c r="P96" s="94"/>
      <c r="Q96" s="94"/>
      <c r="R96" s="94"/>
      <c r="S96" s="94"/>
      <c r="T96" s="94"/>
      <c r="U96" s="94"/>
      <c r="V96" s="94"/>
      <c r="W96" s="94"/>
      <c r="X96" s="94"/>
      <c r="Y96" s="94"/>
      <c r="Z96" s="94"/>
      <c r="AA96" s="94"/>
      <c r="AB96" s="94"/>
      <c r="AC96" s="94"/>
      <c r="AD96" s="94"/>
      <c r="AE96" s="94"/>
      <c r="AF96" s="54"/>
    </row>
    <row r="97" spans="1:32" s="17" customFormat="1" ht="36" customHeight="1" thickBot="1">
      <c r="A97" s="205"/>
      <c r="B97" s="192" t="s">
        <v>101</v>
      </c>
      <c r="C97" s="193"/>
      <c r="D97" s="193"/>
      <c r="E97" s="194"/>
      <c r="F97" s="192"/>
      <c r="G97" s="209"/>
      <c r="H97" s="61"/>
      <c r="I97" s="55"/>
      <c r="J97" s="55"/>
      <c r="K97" s="55"/>
      <c r="L97" s="55"/>
      <c r="M97" s="55"/>
      <c r="N97" s="55"/>
      <c r="O97" s="55"/>
      <c r="P97" s="55"/>
      <c r="Q97" s="55"/>
      <c r="R97" s="55"/>
      <c r="S97" s="55" t="str">
        <f t="shared" ref="S97:AF97" si="1">IF(S96="","",(SUM(LEN(S96)-LEN(SUBSTITUTE(S96,",","")))/LEN(",")) + 1 )</f>
        <v/>
      </c>
      <c r="T97" s="55" t="str">
        <f t="shared" si="1"/>
        <v/>
      </c>
      <c r="U97" s="55" t="str">
        <f t="shared" si="1"/>
        <v/>
      </c>
      <c r="V97" s="55" t="str">
        <f t="shared" si="1"/>
        <v/>
      </c>
      <c r="W97" s="55" t="str">
        <f t="shared" si="1"/>
        <v/>
      </c>
      <c r="X97" s="55" t="str">
        <f t="shared" si="1"/>
        <v/>
      </c>
      <c r="Y97" s="55" t="str">
        <f t="shared" si="1"/>
        <v/>
      </c>
      <c r="Z97" s="55" t="str">
        <f t="shared" si="1"/>
        <v/>
      </c>
      <c r="AA97" s="55" t="str">
        <f t="shared" si="1"/>
        <v/>
      </c>
      <c r="AB97" s="55" t="str">
        <f t="shared" si="1"/>
        <v/>
      </c>
      <c r="AC97" s="55" t="str">
        <f t="shared" si="1"/>
        <v/>
      </c>
      <c r="AD97" s="55" t="str">
        <f t="shared" si="1"/>
        <v/>
      </c>
      <c r="AE97" s="55" t="str">
        <f t="shared" si="1"/>
        <v/>
      </c>
      <c r="AF97" s="56" t="str">
        <f t="shared" si="1"/>
        <v/>
      </c>
    </row>
    <row r="98" spans="1:32" s="17" customFormat="1">
      <c r="H98" s="47"/>
      <c r="I98" s="47"/>
      <c r="J98" s="47"/>
      <c r="K98" s="47"/>
      <c r="L98" s="47"/>
      <c r="M98" s="47"/>
      <c r="N98" s="48"/>
      <c r="O98" s="49"/>
      <c r="P98" s="47"/>
      <c r="Q98" s="47"/>
      <c r="R98" s="47"/>
      <c r="S98" s="47"/>
      <c r="T98" s="47"/>
      <c r="U98" s="47"/>
      <c r="V98" s="47"/>
    </row>
  </sheetData>
  <sheetProtection insertRows="0"/>
  <protectedRanges>
    <protectedRange sqref="H92:AF96" name="Range3_1_1"/>
    <protectedRange sqref="H4:AF4 AD5:AF5 R63:AF63 H45:I51 AD46:AF54 H29:H44 O64:AF69 AA70:AF70 AF71:AF85 AD71:AE84 AF90:AF91 O53:Z54 AF29:AF39 AD40:AF41 H61:I62 J60:J62 H63:J63 N63:P63 K60:K63 H64:K64 N64 L60:M64 H6:AF8 N29:N54 I29:M59 H52:H60 AD37:AE39 AC46:AC51 AC53 AA54:AD54 N55:AF62 O37:AC41 O42:AF45 O46:AB52 O91:AE91 H10:Y25 AA10:AF25 Z10:Z15 Z17:Z25 O29:AE36 H26:AF28 AA71:AC86 O87:AC90 AD86:AE90 H65:N91 I60:I88 O70:Z86" name="Range2_1_1"/>
    <protectedRange sqref="D56:G56" name="Range2_1_5_1"/>
    <protectedRange sqref="C57:G57 C59:C69 B57:B91" name="Range2_1_2"/>
    <protectedRange sqref="C70" name="Range2_1_28"/>
    <protectedRange sqref="C58:G58" name="Range2_1_12"/>
    <protectedRange sqref="C71:G91" name="Range2_1_30"/>
    <protectedRange sqref="B1:O1 P2 T1 B2:E2" name="Range1_1_1"/>
    <protectedRange sqref="P2 AC2:AF2" name="Range1_1_1_1"/>
    <protectedRange sqref="AC1:AF1" name="Range1_1_1_2"/>
    <protectedRange sqref="D59:G70" name="Range2_1_8_1_1"/>
  </protectedRanges>
  <mergeCells count="137">
    <mergeCell ref="A4:A56"/>
    <mergeCell ref="B4:G4"/>
    <mergeCell ref="B5:G5"/>
    <mergeCell ref="D25:D26"/>
    <mergeCell ref="E25:G25"/>
    <mergeCell ref="E26:G26"/>
    <mergeCell ref="C27:G27"/>
    <mergeCell ref="C22:C23"/>
    <mergeCell ref="D37:G37"/>
    <mergeCell ref="E36:G36"/>
    <mergeCell ref="E31:G31"/>
    <mergeCell ref="D44:G44"/>
    <mergeCell ref="D45:G45"/>
    <mergeCell ref="C46:G46"/>
    <mergeCell ref="D34:G34"/>
    <mergeCell ref="E23:G23"/>
    <mergeCell ref="C44:C45"/>
    <mergeCell ref="D40:G40"/>
    <mergeCell ref="D48:G48"/>
    <mergeCell ref="C30:C32"/>
    <mergeCell ref="D30:D32"/>
    <mergeCell ref="E30:G30"/>
    <mergeCell ref="D56:G56"/>
    <mergeCell ref="E32:G32"/>
    <mergeCell ref="B92:F92"/>
    <mergeCell ref="B93:F93"/>
    <mergeCell ref="B94:F94"/>
    <mergeCell ref="B95:F95"/>
    <mergeCell ref="D67:G67"/>
    <mergeCell ref="D68:G68"/>
    <mergeCell ref="D87:G87"/>
    <mergeCell ref="D84:G84"/>
    <mergeCell ref="C89:G89"/>
    <mergeCell ref="D90:G90"/>
    <mergeCell ref="D91:G91"/>
    <mergeCell ref="C90:C91"/>
    <mergeCell ref="D85:G85"/>
    <mergeCell ref="A96:A97"/>
    <mergeCell ref="B96:E96"/>
    <mergeCell ref="F96:G96"/>
    <mergeCell ref="B97:E97"/>
    <mergeCell ref="F97:G97"/>
    <mergeCell ref="A57:A91"/>
    <mergeCell ref="B57:G57"/>
    <mergeCell ref="C72:C88"/>
    <mergeCell ref="D72:G72"/>
    <mergeCell ref="D73:G73"/>
    <mergeCell ref="D74:G74"/>
    <mergeCell ref="D75:G75"/>
    <mergeCell ref="D76:G76"/>
    <mergeCell ref="D77:G77"/>
    <mergeCell ref="D78:G78"/>
    <mergeCell ref="D79:G79"/>
    <mergeCell ref="D80:G80"/>
    <mergeCell ref="D81:G81"/>
    <mergeCell ref="D82:G82"/>
    <mergeCell ref="D83:G83"/>
    <mergeCell ref="D86:G86"/>
    <mergeCell ref="D88:G88"/>
    <mergeCell ref="D66:G66"/>
    <mergeCell ref="A92:A95"/>
    <mergeCell ref="AA2:AB2"/>
    <mergeCell ref="AC2:AF2"/>
    <mergeCell ref="D19:D20"/>
    <mergeCell ref="E19:G19"/>
    <mergeCell ref="C15:G15"/>
    <mergeCell ref="C16:C17"/>
    <mergeCell ref="D17:G17"/>
    <mergeCell ref="C18:G18"/>
    <mergeCell ref="C19:C20"/>
    <mergeCell ref="D16:G16"/>
    <mergeCell ref="D7:D9"/>
    <mergeCell ref="D11:D14"/>
    <mergeCell ref="C6:G6"/>
    <mergeCell ref="C7:C9"/>
    <mergeCell ref="E7:G7"/>
    <mergeCell ref="E8:G8"/>
    <mergeCell ref="E9:G9"/>
    <mergeCell ref="C10:G10"/>
    <mergeCell ref="C11:C14"/>
    <mergeCell ref="B1:E1"/>
    <mergeCell ref="F1:O1"/>
    <mergeCell ref="P1:S1"/>
    <mergeCell ref="P2:Z2"/>
    <mergeCell ref="D22:D23"/>
    <mergeCell ref="E22:G22"/>
    <mergeCell ref="I2:O2"/>
    <mergeCell ref="T1:Z1"/>
    <mergeCell ref="D28:G28"/>
    <mergeCell ref="C25:C26"/>
    <mergeCell ref="D35:D36"/>
    <mergeCell ref="D38:D39"/>
    <mergeCell ref="E41:G41"/>
    <mergeCell ref="D41:D42"/>
    <mergeCell ref="B6:B56"/>
    <mergeCell ref="C34:C42"/>
    <mergeCell ref="E38:G38"/>
    <mergeCell ref="B2:E2"/>
    <mergeCell ref="F2:H2"/>
    <mergeCell ref="C47:C50"/>
    <mergeCell ref="D47:G47"/>
    <mergeCell ref="E39:G39"/>
    <mergeCell ref="E42:G42"/>
    <mergeCell ref="D52:G52"/>
    <mergeCell ref="D53:G53"/>
    <mergeCell ref="C24:G24"/>
    <mergeCell ref="E11:G11"/>
    <mergeCell ref="E12:G12"/>
    <mergeCell ref="E13:G13"/>
    <mergeCell ref="E14:G14"/>
    <mergeCell ref="C33:G33"/>
    <mergeCell ref="C51:G51"/>
    <mergeCell ref="C52:C53"/>
    <mergeCell ref="AA1:AB1"/>
    <mergeCell ref="AC1:AF1"/>
    <mergeCell ref="B58:B91"/>
    <mergeCell ref="C58:G58"/>
    <mergeCell ref="C59:C70"/>
    <mergeCell ref="D59:G59"/>
    <mergeCell ref="D60:G60"/>
    <mergeCell ref="D61:G61"/>
    <mergeCell ref="D62:G62"/>
    <mergeCell ref="D63:G63"/>
    <mergeCell ref="D64:G64"/>
    <mergeCell ref="D65:G65"/>
    <mergeCell ref="D69:G69"/>
    <mergeCell ref="D70:G70"/>
    <mergeCell ref="C71:G71"/>
    <mergeCell ref="E20:G20"/>
    <mergeCell ref="C29:G29"/>
    <mergeCell ref="C21:G21"/>
    <mergeCell ref="C54:G54"/>
    <mergeCell ref="D49:G49"/>
    <mergeCell ref="D50:G50"/>
    <mergeCell ref="E35:G35"/>
    <mergeCell ref="C55:G55"/>
    <mergeCell ref="C43:G43"/>
  </mergeCells>
  <phoneticPr fontId="3"/>
  <conditionalFormatting sqref="AF90:AF97 AD43:AD44 Z52:AA52 AC52:AD52 AD86 AD46:AD84 AE33:AE86 AE29:AE31 AF29:AF87 I29:I70 J29:J62 K29:K63 L29:M64 N29:N54 H6:AF14 P20:AF20 O23:AF23 O26:AF26 Z17:Z27 R32:AE32 S36:AE36 AD39:AD41 V43:V86 H39:U86 T39:AF39 U42:AF42 T39:V56 V45:AF45 O52:W52 X39:Z56 O54:AF54 O17:Y17 AA3:AB27 AA39:AC86 Z3:Z15 W39:X86 Z54:Z84 Y39:Y84 Y86:Z86 AC3:AF28 H3:P28 Q3:Y27 H29:AD38 Q28:AB28 O5:AC5 H87:AE97">
    <cfRule type="expression" dxfId="34" priority="15" stopIfTrue="1">
      <formula>H$95="NA"</formula>
    </cfRule>
    <cfRule type="expression" dxfId="33" priority="16" stopIfTrue="1">
      <formula>H$95="NG"</formula>
    </cfRule>
  </conditionalFormatting>
  <conditionalFormatting sqref="AD42">
    <cfRule type="expression" dxfId="32" priority="19" stopIfTrue="1">
      <formula>V$95="NA"</formula>
    </cfRule>
    <cfRule type="expression" dxfId="31" priority="20" stopIfTrue="1">
      <formula>V$95="NG"</formula>
    </cfRule>
  </conditionalFormatting>
  <conditionalFormatting sqref="Y85">
    <cfRule type="expression" dxfId="30" priority="3" stopIfTrue="1">
      <formula>Y$95="NA"</formula>
    </cfRule>
    <cfRule type="expression" dxfId="29" priority="4" stopIfTrue="1">
      <formula>Y$95="NG"</formula>
    </cfRule>
  </conditionalFormatting>
  <conditionalFormatting sqref="Z85">
    <cfRule type="expression" dxfId="28" priority="1" stopIfTrue="1">
      <formula>Z$95="NA"</formula>
    </cfRule>
    <cfRule type="expression" dxfId="27" priority="2" stopIfTrue="1">
      <formula>Z$95="NG"</formula>
    </cfRule>
  </conditionalFormatting>
  <dataValidations count="10">
    <dataValidation allowBlank="1" showInputMessage="1" showErrorMessage="1" promptTitle="Condition Type" prompt="N : Normal _x000a_A : Abnormal _x000a_B : Boundary" sqref="G92"/>
    <dataValidation allowBlank="1" showInputMessage="1" showErrorMessage="1" promptTitle="Enter" prompt="Name of the person who performed the test" sqref="G93"/>
    <dataValidation allowBlank="1" showInputMessage="1" showErrorMessage="1" promptTitle="Testing Date" prompt="Date on which test was performed in yyyy/mm/dd format" sqref="G94"/>
    <dataValidation allowBlank="1" showInputMessage="1" showErrorMessage="1" promptTitle="Test Result" prompt="OK : Result is OK      _x000a_NG : Result is not as expected_x000a_NA : Not Applicable      _x000a_PT : Testing Pending (as Data not available/ cannot be generated currently)" sqref="G95"/>
    <dataValidation allowBlank="1" showInputMessage="1" showErrorMessage="1" promptTitle="Bug ID" prompt="Unique ID throughout the project._x000a_For every Bug found during Test as well as Re-Test, a new Bug ID needs to be entered here (as a comma seperated value)" sqref="B96:E96"/>
    <dataValidation allowBlank="1" showInputMessage="1" showErrorMessage="1" promptTitle="PCL sheet name" prompt=" " sqref="F96:G96"/>
    <dataValidation type="list" allowBlank="1" showInputMessage="1" showErrorMessage="1" sqref="H95:AF95">
      <formula1>"OK, NG, NA, PT"</formula1>
    </dataValidation>
    <dataValidation type="list" allowBlank="1" showInputMessage="1" showErrorMessage="1" sqref="H92:AF92">
      <formula1>"N, A, B"</formula1>
    </dataValidation>
    <dataValidation allowBlank="1" showInputMessage="1" showErrorMessage="1" promptTitle="Check points" prompt="that need / need not be executed" sqref="A57:A91"/>
    <dataValidation allowBlank="1" showInputMessage="1" showErrorMessage="1" promptTitle="Input conditions" prompt="that need to be checked." sqref="A4:A56"/>
  </dataValidations>
  <hyperlinks>
    <hyperlink ref="E14" r:id="rId1"/>
    <hyperlink ref="E32" r:id="rId2"/>
    <hyperlink ref="E31" r:id="rId3"/>
  </hyperlinks>
  <printOptions horizontalCentered="1"/>
  <pageMargins left="0.55118110236220474" right="0.46" top="0.98425196850393704" bottom="0.98425196850393704" header="0.51181102362204722" footer="0.51181102362204722"/>
  <pageSetup paperSize="9" scale="35" orientation="portrait" r:id="rId4"/>
  <headerFooter alignWithMargins="0">
    <oddHeader>&amp;LUKS-FMT-GBL-211-02.03&amp;C&amp;F:&amp;A&amp;R&amp;"Arial,Regular"&amp;10UKS-REC-XXX-XXX</oddHeader>
    <oddFooter>&amp;L&amp;"Arial,Regular"&amp;10Unikaihatsu Software Pvt.Ltd.&amp;C&amp;10This document is uncontrolled after printed.&amp;R&amp;"Arial,Regular"&amp;10Page &amp;P of &amp;N</oddFooter>
  </headerFooter>
  <drawing r:id="rId5"/>
  <legacyDrawing r:id="rId6"/>
</worksheet>
</file>

<file path=xl/worksheets/sheet6.xml><?xml version="1.0" encoding="utf-8"?>
<worksheet xmlns="http://schemas.openxmlformats.org/spreadsheetml/2006/main" xmlns:r="http://schemas.openxmlformats.org/officeDocument/2006/relationships">
  <sheetPr codeName="Sheet4"/>
  <dimension ref="A1:AF48"/>
  <sheetViews>
    <sheetView view="pageBreakPreview" zoomScale="85" zoomScaleNormal="70" zoomScaleSheetLayoutView="85" workbookViewId="0">
      <pane xSplit="7" ySplit="3" topLeftCell="H16" activePane="bottomRight" state="frozen"/>
      <selection activeCell="A5" sqref="A5"/>
      <selection pane="topRight" activeCell="A5" sqref="A5"/>
      <selection pane="bottomLeft" activeCell="A5" sqref="A5"/>
      <selection pane="bottomRight" activeCell="F3" sqref="F3"/>
    </sheetView>
  </sheetViews>
  <sheetFormatPr defaultColWidth="3.625" defaultRowHeight="12"/>
  <cols>
    <col min="1" max="1" width="9.75" style="9" customWidth="1"/>
    <col min="2" max="3" width="2.625" style="9" customWidth="1"/>
    <col min="4" max="5" width="2.625" style="50" customWidth="1"/>
    <col min="6" max="7" width="15.625" style="50" customWidth="1"/>
    <col min="8" max="22" width="3.625" style="51" customWidth="1"/>
    <col min="23" max="16384" width="3.625" style="1"/>
  </cols>
  <sheetData>
    <row r="1" spans="1:32" ht="20.100000000000001" customHeight="1">
      <c r="A1" s="63" t="s">
        <v>60</v>
      </c>
      <c r="B1" s="186" t="s">
        <v>172</v>
      </c>
      <c r="C1" s="187"/>
      <c r="D1" s="187"/>
      <c r="E1" s="188"/>
      <c r="F1" s="186" t="s">
        <v>192</v>
      </c>
      <c r="G1" s="187"/>
      <c r="H1" s="187"/>
      <c r="I1" s="187"/>
      <c r="J1" s="187"/>
      <c r="K1" s="187"/>
      <c r="L1" s="187"/>
      <c r="M1" s="187"/>
      <c r="N1" s="187"/>
      <c r="O1" s="188"/>
      <c r="P1" s="195" t="s">
        <v>61</v>
      </c>
      <c r="Q1" s="196"/>
      <c r="R1" s="196"/>
      <c r="S1" s="197"/>
      <c r="T1" s="186" t="s">
        <v>174</v>
      </c>
      <c r="U1" s="187"/>
      <c r="V1" s="187"/>
      <c r="W1" s="187"/>
      <c r="X1" s="187"/>
      <c r="Y1" s="187"/>
      <c r="Z1" s="188"/>
      <c r="AA1" s="198" t="s">
        <v>62</v>
      </c>
      <c r="AB1" s="198"/>
      <c r="AC1" s="199">
        <v>43703</v>
      </c>
      <c r="AD1" s="199"/>
      <c r="AE1" s="199"/>
      <c r="AF1" s="200"/>
    </row>
    <row r="2" spans="1:32" ht="20.100000000000001" customHeight="1" thickBot="1">
      <c r="A2" s="64" t="s">
        <v>63</v>
      </c>
      <c r="B2" s="189" t="s">
        <v>168</v>
      </c>
      <c r="C2" s="190"/>
      <c r="D2" s="190"/>
      <c r="E2" s="191"/>
      <c r="F2" s="189" t="s">
        <v>173</v>
      </c>
      <c r="G2" s="190"/>
      <c r="H2" s="191"/>
      <c r="I2" s="192" t="s">
        <v>102</v>
      </c>
      <c r="J2" s="193"/>
      <c r="K2" s="193"/>
      <c r="L2" s="193"/>
      <c r="M2" s="193"/>
      <c r="N2" s="193"/>
      <c r="O2" s="194"/>
      <c r="P2" s="189"/>
      <c r="Q2" s="190"/>
      <c r="R2" s="190"/>
      <c r="S2" s="190"/>
      <c r="T2" s="190"/>
      <c r="U2" s="190"/>
      <c r="V2" s="190"/>
      <c r="W2" s="190"/>
      <c r="X2" s="190"/>
      <c r="Y2" s="190"/>
      <c r="Z2" s="191"/>
      <c r="AA2" s="201" t="s">
        <v>109</v>
      </c>
      <c r="AB2" s="202"/>
      <c r="AC2" s="189" t="s">
        <v>118</v>
      </c>
      <c r="AD2" s="190"/>
      <c r="AE2" s="190"/>
      <c r="AF2" s="203"/>
    </row>
    <row r="3" spans="1:32" ht="37.5" customHeight="1" thickBot="1">
      <c r="A3" s="66" t="s">
        <v>64</v>
      </c>
      <c r="B3" s="10"/>
      <c r="C3" s="10"/>
      <c r="D3" s="10"/>
      <c r="E3" s="10"/>
      <c r="F3" s="10"/>
      <c r="G3" s="65" t="s">
        <v>65</v>
      </c>
      <c r="H3" s="11">
        <f>IF(COUNTA(H4:H42)&gt;0,1,"")</f>
        <v>1</v>
      </c>
      <c r="I3" s="12" t="str">
        <f t="shared" ref="I3:AF3" si="0">IF(COUNTA(I4:I42)&gt;0,IF(H3&gt;0,H3+1,""),"")</f>
        <v/>
      </c>
      <c r="J3" s="12" t="str">
        <f t="shared" si="0"/>
        <v/>
      </c>
      <c r="K3" s="12" t="str">
        <f t="shared" si="0"/>
        <v/>
      </c>
      <c r="L3" s="12" t="str">
        <f t="shared" si="0"/>
        <v/>
      </c>
      <c r="M3" s="12" t="str">
        <f t="shared" si="0"/>
        <v/>
      </c>
      <c r="N3" s="12" t="str">
        <f t="shared" si="0"/>
        <v/>
      </c>
      <c r="O3" s="12" t="str">
        <f t="shared" si="0"/>
        <v/>
      </c>
      <c r="P3" s="12" t="str">
        <f t="shared" si="0"/>
        <v/>
      </c>
      <c r="Q3" s="12" t="str">
        <f t="shared" si="0"/>
        <v/>
      </c>
      <c r="R3" s="12" t="str">
        <f t="shared" si="0"/>
        <v/>
      </c>
      <c r="S3" s="12" t="str">
        <f t="shared" si="0"/>
        <v/>
      </c>
      <c r="T3" s="12" t="str">
        <f t="shared" si="0"/>
        <v/>
      </c>
      <c r="U3" s="12" t="str">
        <f t="shared" si="0"/>
        <v/>
      </c>
      <c r="V3" s="12" t="str">
        <f t="shared" si="0"/>
        <v/>
      </c>
      <c r="W3" s="12" t="str">
        <f t="shared" si="0"/>
        <v/>
      </c>
      <c r="X3" s="12" t="str">
        <f t="shared" si="0"/>
        <v/>
      </c>
      <c r="Y3" s="12" t="str">
        <f t="shared" si="0"/>
        <v/>
      </c>
      <c r="Z3" s="12" t="str">
        <f t="shared" si="0"/>
        <v/>
      </c>
      <c r="AA3" s="12" t="str">
        <f t="shared" si="0"/>
        <v/>
      </c>
      <c r="AB3" s="12" t="str">
        <f t="shared" si="0"/>
        <v/>
      </c>
      <c r="AC3" s="12" t="str">
        <f t="shared" si="0"/>
        <v/>
      </c>
      <c r="AD3" s="12" t="str">
        <f t="shared" si="0"/>
        <v/>
      </c>
      <c r="AE3" s="12" t="str">
        <f t="shared" si="0"/>
        <v/>
      </c>
      <c r="AF3" s="13" t="str">
        <f t="shared" si="0"/>
        <v/>
      </c>
    </row>
    <row r="4" spans="1:32" s="17" customFormat="1" ht="13.5" customHeight="1">
      <c r="A4" s="178" t="s">
        <v>66</v>
      </c>
      <c r="B4" s="252" t="s">
        <v>115</v>
      </c>
      <c r="C4" s="252"/>
      <c r="D4" s="252"/>
      <c r="E4" s="252"/>
      <c r="F4" s="252"/>
      <c r="G4" s="253"/>
      <c r="H4" s="14"/>
      <c r="I4" s="15"/>
      <c r="J4" s="15"/>
      <c r="K4" s="15"/>
      <c r="L4" s="15"/>
      <c r="M4" s="15"/>
      <c r="N4" s="15"/>
      <c r="O4" s="15"/>
      <c r="P4" s="15"/>
      <c r="Q4" s="15"/>
      <c r="R4" s="15"/>
      <c r="S4" s="15"/>
      <c r="T4" s="15"/>
      <c r="U4" s="15"/>
      <c r="V4" s="15"/>
      <c r="W4" s="15"/>
      <c r="X4" s="15"/>
      <c r="Y4" s="15"/>
      <c r="Z4" s="15"/>
      <c r="AA4" s="15"/>
      <c r="AB4" s="15"/>
      <c r="AC4" s="15"/>
      <c r="AD4" s="15"/>
      <c r="AE4" s="15"/>
      <c r="AF4" s="16"/>
    </row>
    <row r="5" spans="1:32" s="17" customFormat="1" ht="13.5" customHeight="1">
      <c r="A5" s="179"/>
      <c r="B5" s="180" t="s">
        <v>102</v>
      </c>
      <c r="C5" s="181"/>
      <c r="D5" s="181"/>
      <c r="E5" s="181"/>
      <c r="F5" s="181"/>
      <c r="G5" s="220"/>
      <c r="H5" s="82" t="s">
        <v>177</v>
      </c>
      <c r="I5" s="72"/>
      <c r="J5" s="72"/>
      <c r="K5" s="72"/>
      <c r="L5" s="72"/>
      <c r="M5" s="72"/>
      <c r="N5" s="72"/>
      <c r="O5" s="72"/>
      <c r="P5" s="72"/>
      <c r="Q5" s="72"/>
      <c r="R5" s="72"/>
      <c r="S5" s="72"/>
      <c r="T5" s="72"/>
      <c r="U5" s="72"/>
      <c r="V5" s="72"/>
      <c r="W5" s="72"/>
      <c r="X5" s="72"/>
      <c r="Y5" s="72"/>
      <c r="Z5" s="72"/>
      <c r="AA5" s="72"/>
      <c r="AB5" s="72"/>
      <c r="AC5" s="72"/>
      <c r="AD5" s="72"/>
      <c r="AE5" s="72"/>
      <c r="AF5" s="20"/>
    </row>
    <row r="6" spans="1:32" s="17" customFormat="1" ht="13.5" customHeight="1" thickBot="1">
      <c r="A6" s="179"/>
      <c r="B6" s="79"/>
      <c r="C6" s="273" t="s">
        <v>103</v>
      </c>
      <c r="D6" s="274"/>
      <c r="E6" s="274"/>
      <c r="F6" s="274"/>
      <c r="G6" s="275"/>
      <c r="H6" s="82" t="s">
        <v>177</v>
      </c>
      <c r="I6" s="23"/>
      <c r="J6" s="23"/>
      <c r="K6" s="23"/>
      <c r="L6" s="23"/>
      <c r="M6" s="23"/>
      <c r="N6" s="23"/>
      <c r="O6" s="23"/>
      <c r="P6" s="23"/>
      <c r="Q6" s="23"/>
      <c r="R6" s="23"/>
      <c r="S6" s="23"/>
      <c r="T6" s="23"/>
      <c r="U6" s="23"/>
      <c r="V6" s="23"/>
      <c r="W6" s="23"/>
      <c r="X6" s="23"/>
      <c r="Y6" s="23"/>
      <c r="Z6" s="23"/>
      <c r="AA6" s="23"/>
      <c r="AB6" s="23"/>
      <c r="AC6" s="23"/>
      <c r="AD6" s="23"/>
      <c r="AE6" s="23"/>
      <c r="AF6" s="24"/>
    </row>
    <row r="7" spans="1:32" s="17" customFormat="1" ht="13.5" customHeight="1">
      <c r="A7" s="172" t="s">
        <v>89</v>
      </c>
      <c r="B7" s="175" t="s">
        <v>57</v>
      </c>
      <c r="C7" s="176"/>
      <c r="D7" s="176"/>
      <c r="E7" s="176"/>
      <c r="F7" s="176"/>
      <c r="G7" s="219"/>
      <c r="H7" s="25"/>
      <c r="I7" s="26"/>
      <c r="J7" s="26"/>
      <c r="K7" s="26"/>
      <c r="L7" s="26"/>
      <c r="M7" s="26"/>
      <c r="N7" s="26"/>
      <c r="O7" s="26"/>
      <c r="P7" s="26"/>
      <c r="Q7" s="26"/>
      <c r="R7" s="26"/>
      <c r="S7" s="26"/>
      <c r="T7" s="26"/>
      <c r="U7" s="26"/>
      <c r="V7" s="26"/>
      <c r="W7" s="26"/>
      <c r="X7" s="26"/>
      <c r="Y7" s="26"/>
      <c r="Z7" s="26"/>
      <c r="AA7" s="26"/>
      <c r="AB7" s="26"/>
      <c r="AC7" s="26"/>
      <c r="AD7" s="26"/>
      <c r="AE7" s="26"/>
      <c r="AF7" s="27"/>
    </row>
    <row r="8" spans="1:32" s="17" customFormat="1" ht="13.5" customHeight="1">
      <c r="A8" s="173"/>
      <c r="B8" s="237"/>
      <c r="C8" s="162" t="s">
        <v>179</v>
      </c>
      <c r="D8" s="163"/>
      <c r="E8" s="163"/>
      <c r="F8" s="163"/>
      <c r="G8" s="216"/>
      <c r="H8" s="75"/>
      <c r="I8" s="76"/>
      <c r="J8" s="76"/>
      <c r="K8" s="76"/>
      <c r="L8" s="76"/>
      <c r="M8" s="76"/>
      <c r="N8" s="76"/>
      <c r="O8" s="76"/>
      <c r="P8" s="76"/>
      <c r="Q8" s="76"/>
      <c r="R8" s="76"/>
      <c r="S8" s="76"/>
      <c r="T8" s="76"/>
      <c r="U8" s="76"/>
      <c r="V8" s="76"/>
      <c r="W8" s="76"/>
      <c r="X8" s="76"/>
      <c r="Y8" s="76"/>
      <c r="Z8" s="76"/>
      <c r="AA8" s="76"/>
      <c r="AB8" s="76"/>
      <c r="AC8" s="76"/>
      <c r="AD8" s="76"/>
      <c r="AE8" s="76"/>
      <c r="AF8" s="77"/>
    </row>
    <row r="9" spans="1:32" s="17" customFormat="1" ht="13.5" customHeight="1">
      <c r="A9" s="173"/>
      <c r="B9" s="184"/>
      <c r="C9" s="80"/>
      <c r="D9" s="228" t="s">
        <v>70</v>
      </c>
      <c r="E9" s="228"/>
      <c r="F9" s="228"/>
      <c r="G9" s="229"/>
      <c r="H9" s="82" t="s">
        <v>177</v>
      </c>
      <c r="I9" s="76"/>
      <c r="J9" s="76"/>
      <c r="K9" s="76"/>
      <c r="L9" s="76"/>
      <c r="M9" s="76"/>
      <c r="N9" s="76"/>
      <c r="O9" s="76"/>
      <c r="P9" s="76"/>
      <c r="Q9" s="76"/>
      <c r="R9" s="76"/>
      <c r="S9" s="76"/>
      <c r="T9" s="76"/>
      <c r="U9" s="76"/>
      <c r="V9" s="76"/>
      <c r="W9" s="76"/>
      <c r="X9" s="76"/>
      <c r="Y9" s="76"/>
      <c r="Z9" s="76"/>
      <c r="AA9" s="76"/>
      <c r="AB9" s="76"/>
      <c r="AC9" s="76"/>
      <c r="AD9" s="76"/>
      <c r="AE9" s="76"/>
      <c r="AF9" s="77"/>
    </row>
    <row r="10" spans="1:32" s="17" customFormat="1" ht="13.5" customHeight="1">
      <c r="A10" s="173"/>
      <c r="B10" s="184"/>
      <c r="C10" s="162" t="s">
        <v>73</v>
      </c>
      <c r="D10" s="163"/>
      <c r="E10" s="163"/>
      <c r="F10" s="163"/>
      <c r="G10" s="216"/>
      <c r="H10" s="83"/>
      <c r="I10" s="76"/>
      <c r="J10" s="76"/>
      <c r="K10" s="76"/>
      <c r="L10" s="76"/>
      <c r="M10" s="76"/>
      <c r="N10" s="76"/>
      <c r="O10" s="76"/>
      <c r="P10" s="76"/>
      <c r="Q10" s="76"/>
      <c r="R10" s="76"/>
      <c r="S10" s="76"/>
      <c r="T10" s="76"/>
      <c r="U10" s="76"/>
      <c r="V10" s="76"/>
      <c r="W10" s="76"/>
      <c r="X10" s="76"/>
      <c r="Y10" s="76"/>
      <c r="Z10" s="76"/>
      <c r="AA10" s="76"/>
      <c r="AB10" s="76"/>
      <c r="AC10" s="76"/>
      <c r="AD10" s="76"/>
      <c r="AE10" s="76"/>
      <c r="AF10" s="77"/>
    </row>
    <row r="11" spans="1:32" s="17" customFormat="1" ht="13.5" customHeight="1">
      <c r="A11" s="173"/>
      <c r="B11" s="184"/>
      <c r="C11" s="80"/>
      <c r="D11" s="228" t="s">
        <v>70</v>
      </c>
      <c r="E11" s="228"/>
      <c r="F11" s="228"/>
      <c r="G11" s="229"/>
      <c r="H11" s="82" t="s">
        <v>177</v>
      </c>
      <c r="I11" s="76"/>
      <c r="J11" s="76"/>
      <c r="K11" s="76"/>
      <c r="L11" s="76"/>
      <c r="M11" s="76"/>
      <c r="N11" s="76"/>
      <c r="O11" s="76"/>
      <c r="P11" s="76"/>
      <c r="Q11" s="76"/>
      <c r="R11" s="76"/>
      <c r="S11" s="76"/>
      <c r="T11" s="76"/>
      <c r="U11" s="76"/>
      <c r="V11" s="76"/>
      <c r="W11" s="76"/>
      <c r="X11" s="76"/>
      <c r="Y11" s="76"/>
      <c r="Z11" s="76"/>
      <c r="AA11" s="76"/>
      <c r="AB11" s="76"/>
      <c r="AC11" s="76"/>
      <c r="AD11" s="76"/>
      <c r="AE11" s="76"/>
      <c r="AF11" s="77"/>
    </row>
    <row r="12" spans="1:32" s="17" customFormat="1" ht="13.5" customHeight="1">
      <c r="A12" s="173"/>
      <c r="B12" s="184"/>
      <c r="C12" s="162" t="s">
        <v>67</v>
      </c>
      <c r="D12" s="163"/>
      <c r="E12" s="163"/>
      <c r="F12" s="163"/>
      <c r="G12" s="216"/>
      <c r="H12" s="22"/>
      <c r="I12" s="23"/>
      <c r="J12" s="23"/>
      <c r="K12" s="23"/>
      <c r="L12" s="23"/>
      <c r="M12" s="23"/>
      <c r="N12" s="23"/>
      <c r="O12" s="23"/>
      <c r="P12" s="23"/>
      <c r="Q12" s="23"/>
      <c r="R12" s="23"/>
      <c r="S12" s="23"/>
      <c r="T12" s="23"/>
      <c r="U12" s="23"/>
      <c r="V12" s="23"/>
      <c r="W12" s="23"/>
      <c r="X12" s="23"/>
      <c r="Y12" s="23"/>
      <c r="Z12" s="23"/>
      <c r="AA12" s="23"/>
      <c r="AB12" s="23"/>
      <c r="AC12" s="23"/>
      <c r="AD12" s="23"/>
      <c r="AE12" s="23"/>
      <c r="AF12" s="24"/>
    </row>
    <row r="13" spans="1:32" s="17" customFormat="1" ht="13.5" customHeight="1">
      <c r="A13" s="173"/>
      <c r="B13" s="184"/>
      <c r="C13" s="80"/>
      <c r="D13" s="228" t="s">
        <v>70</v>
      </c>
      <c r="E13" s="228"/>
      <c r="F13" s="228"/>
      <c r="G13" s="229"/>
      <c r="H13" s="82" t="s">
        <v>177</v>
      </c>
      <c r="I13" s="23"/>
      <c r="J13" s="23"/>
      <c r="K13" s="23"/>
      <c r="L13" s="23"/>
      <c r="M13" s="23"/>
      <c r="N13" s="23"/>
      <c r="O13" s="23"/>
      <c r="P13" s="23"/>
      <c r="Q13" s="23"/>
      <c r="R13" s="23"/>
      <c r="S13" s="23"/>
      <c r="T13" s="23"/>
      <c r="U13" s="23"/>
      <c r="V13" s="23"/>
      <c r="W13" s="23"/>
      <c r="X13" s="23"/>
      <c r="Y13" s="23"/>
      <c r="Z13" s="23"/>
      <c r="AA13" s="23"/>
      <c r="AB13" s="23"/>
      <c r="AC13" s="23"/>
      <c r="AD13" s="23"/>
      <c r="AE13" s="23"/>
      <c r="AF13" s="24"/>
    </row>
    <row r="14" spans="1:32" s="17" customFormat="1" ht="13.5" customHeight="1">
      <c r="A14" s="173"/>
      <c r="B14" s="184"/>
      <c r="C14" s="162" t="s">
        <v>69</v>
      </c>
      <c r="D14" s="163"/>
      <c r="E14" s="163"/>
      <c r="F14" s="163"/>
      <c r="G14" s="216"/>
      <c r="H14" s="22"/>
      <c r="I14" s="23"/>
      <c r="J14" s="23"/>
      <c r="K14" s="23"/>
      <c r="L14" s="23"/>
      <c r="M14" s="23"/>
      <c r="N14" s="23"/>
      <c r="O14" s="23"/>
      <c r="P14" s="23"/>
      <c r="Q14" s="23"/>
      <c r="R14" s="23"/>
      <c r="S14" s="23"/>
      <c r="T14" s="23"/>
      <c r="U14" s="23"/>
      <c r="V14" s="23"/>
      <c r="W14" s="23"/>
      <c r="X14" s="23"/>
      <c r="Y14" s="23"/>
      <c r="Z14" s="23"/>
      <c r="AA14" s="23"/>
      <c r="AB14" s="23"/>
      <c r="AC14" s="23"/>
      <c r="AD14" s="23"/>
      <c r="AE14" s="23"/>
      <c r="AF14" s="24"/>
    </row>
    <row r="15" spans="1:32" s="17" customFormat="1" ht="13.5" customHeight="1">
      <c r="A15" s="173"/>
      <c r="B15" s="184"/>
      <c r="C15" s="80"/>
      <c r="D15" s="228" t="s">
        <v>70</v>
      </c>
      <c r="E15" s="228"/>
      <c r="F15" s="228"/>
      <c r="G15" s="229"/>
      <c r="H15" s="82" t="s">
        <v>177</v>
      </c>
      <c r="I15" s="23"/>
      <c r="J15" s="23"/>
      <c r="K15" s="23"/>
      <c r="L15" s="23"/>
      <c r="M15" s="23"/>
      <c r="N15" s="23"/>
      <c r="O15" s="23"/>
      <c r="P15" s="23"/>
      <c r="Q15" s="23"/>
      <c r="R15" s="23"/>
      <c r="S15" s="23"/>
      <c r="T15" s="23"/>
      <c r="U15" s="23"/>
      <c r="V15" s="23"/>
      <c r="W15" s="23"/>
      <c r="X15" s="23"/>
      <c r="Y15" s="23"/>
      <c r="Z15" s="23"/>
      <c r="AA15" s="23"/>
      <c r="AB15" s="23"/>
      <c r="AC15" s="23"/>
      <c r="AD15" s="23"/>
      <c r="AE15" s="23"/>
      <c r="AF15" s="24"/>
    </row>
    <row r="16" spans="1:32" s="17" customFormat="1" ht="13.5" customHeight="1">
      <c r="A16" s="173"/>
      <c r="B16" s="184"/>
      <c r="C16" s="162" t="s">
        <v>71</v>
      </c>
      <c r="D16" s="163"/>
      <c r="E16" s="163"/>
      <c r="F16" s="163"/>
      <c r="G16" s="216"/>
      <c r="H16" s="29"/>
      <c r="I16" s="23"/>
      <c r="J16" s="23"/>
      <c r="K16" s="23"/>
      <c r="L16" s="23"/>
      <c r="M16" s="23"/>
      <c r="N16" s="23"/>
      <c r="O16" s="23"/>
      <c r="P16" s="23"/>
      <c r="Q16" s="23"/>
      <c r="R16" s="23"/>
      <c r="S16" s="23"/>
      <c r="T16" s="23"/>
      <c r="U16" s="23"/>
      <c r="V16" s="23"/>
      <c r="W16" s="23"/>
      <c r="X16" s="23"/>
      <c r="Y16" s="23"/>
      <c r="Z16" s="23"/>
      <c r="AA16" s="23"/>
      <c r="AB16" s="23"/>
      <c r="AC16" s="23"/>
      <c r="AD16" s="23"/>
      <c r="AE16" s="23"/>
      <c r="AF16" s="24"/>
    </row>
    <row r="17" spans="1:32" s="17" customFormat="1" ht="13.5" customHeight="1">
      <c r="A17" s="173"/>
      <c r="B17" s="184"/>
      <c r="C17" s="80"/>
      <c r="D17" s="228" t="s">
        <v>70</v>
      </c>
      <c r="E17" s="228"/>
      <c r="F17" s="228"/>
      <c r="G17" s="229"/>
      <c r="H17" s="82" t="s">
        <v>177</v>
      </c>
      <c r="I17" s="23"/>
      <c r="J17" s="23"/>
      <c r="K17" s="23"/>
      <c r="L17" s="23"/>
      <c r="M17" s="23"/>
      <c r="N17" s="23"/>
      <c r="O17" s="23"/>
      <c r="P17" s="23"/>
      <c r="Q17" s="23"/>
      <c r="R17" s="23"/>
      <c r="S17" s="23"/>
      <c r="T17" s="23"/>
      <c r="U17" s="23"/>
      <c r="V17" s="23"/>
      <c r="W17" s="23"/>
      <c r="X17" s="23"/>
      <c r="Y17" s="23"/>
      <c r="Z17" s="23"/>
      <c r="AA17" s="23"/>
      <c r="AB17" s="23"/>
      <c r="AC17" s="23"/>
      <c r="AD17" s="23"/>
      <c r="AE17" s="23"/>
      <c r="AF17" s="24"/>
    </row>
    <row r="18" spans="1:32" s="17" customFormat="1" ht="13.5" customHeight="1">
      <c r="A18" s="173"/>
      <c r="B18" s="184"/>
      <c r="C18" s="162" t="s">
        <v>72</v>
      </c>
      <c r="D18" s="163"/>
      <c r="E18" s="163"/>
      <c r="F18" s="163"/>
      <c r="G18" s="216"/>
      <c r="H18" s="29"/>
      <c r="I18" s="23"/>
      <c r="J18" s="23"/>
      <c r="K18" s="23"/>
      <c r="L18" s="23"/>
      <c r="M18" s="23"/>
      <c r="N18" s="23"/>
      <c r="O18" s="23"/>
      <c r="P18" s="23"/>
      <c r="Q18" s="23"/>
      <c r="R18" s="23"/>
      <c r="S18" s="23"/>
      <c r="T18" s="23"/>
      <c r="U18" s="23"/>
      <c r="V18" s="23"/>
      <c r="W18" s="23"/>
      <c r="X18" s="23"/>
      <c r="Y18" s="23"/>
      <c r="Z18" s="23"/>
      <c r="AA18" s="23"/>
      <c r="AB18" s="23"/>
      <c r="AC18" s="23"/>
      <c r="AD18" s="23"/>
      <c r="AE18" s="23"/>
      <c r="AF18" s="24"/>
    </row>
    <row r="19" spans="1:32" s="17" customFormat="1" ht="13.5" customHeight="1">
      <c r="A19" s="173"/>
      <c r="B19" s="184"/>
      <c r="C19" s="80"/>
      <c r="D19" s="228" t="s">
        <v>70</v>
      </c>
      <c r="E19" s="228"/>
      <c r="F19" s="228"/>
      <c r="G19" s="229"/>
      <c r="H19" s="82" t="s">
        <v>177</v>
      </c>
      <c r="I19" s="23"/>
      <c r="J19" s="23"/>
      <c r="K19" s="23"/>
      <c r="L19" s="23"/>
      <c r="M19" s="23"/>
      <c r="N19" s="23"/>
      <c r="O19" s="23"/>
      <c r="P19" s="23"/>
      <c r="Q19" s="23"/>
      <c r="R19" s="23"/>
      <c r="S19" s="23"/>
      <c r="T19" s="23"/>
      <c r="U19" s="23"/>
      <c r="V19" s="23"/>
      <c r="W19" s="23"/>
      <c r="X19" s="23"/>
      <c r="Y19" s="23"/>
      <c r="Z19" s="23"/>
      <c r="AA19" s="23"/>
      <c r="AB19" s="23"/>
      <c r="AC19" s="23"/>
      <c r="AD19" s="23"/>
      <c r="AE19" s="23"/>
      <c r="AF19" s="24"/>
    </row>
    <row r="20" spans="1:32" s="17" customFormat="1" ht="13.5" customHeight="1">
      <c r="A20" s="173"/>
      <c r="B20" s="184"/>
      <c r="C20" s="162" t="s">
        <v>74</v>
      </c>
      <c r="D20" s="163"/>
      <c r="E20" s="163"/>
      <c r="F20" s="163"/>
      <c r="G20" s="216"/>
      <c r="H20" s="29"/>
      <c r="I20" s="23"/>
      <c r="J20" s="23"/>
      <c r="K20" s="23"/>
      <c r="L20" s="23"/>
      <c r="M20" s="23"/>
      <c r="N20" s="23"/>
      <c r="O20" s="23"/>
      <c r="P20" s="23"/>
      <c r="Q20" s="23"/>
      <c r="R20" s="23"/>
      <c r="S20" s="23"/>
      <c r="T20" s="23"/>
      <c r="U20" s="23"/>
      <c r="V20" s="23"/>
      <c r="W20" s="23"/>
      <c r="X20" s="23"/>
      <c r="Y20" s="23"/>
      <c r="Z20" s="23"/>
      <c r="AA20" s="23"/>
      <c r="AB20" s="23"/>
      <c r="AC20" s="23"/>
      <c r="AD20" s="23"/>
      <c r="AE20" s="23"/>
      <c r="AF20" s="24"/>
    </row>
    <row r="21" spans="1:32" s="17" customFormat="1" ht="13.5" customHeight="1">
      <c r="A21" s="173"/>
      <c r="B21" s="184"/>
      <c r="C21" s="80"/>
      <c r="D21" s="228" t="s">
        <v>70</v>
      </c>
      <c r="E21" s="228"/>
      <c r="F21" s="228"/>
      <c r="G21" s="229"/>
      <c r="H21" s="82" t="s">
        <v>177</v>
      </c>
      <c r="I21" s="23"/>
      <c r="J21" s="23"/>
      <c r="K21" s="23"/>
      <c r="L21" s="23"/>
      <c r="M21" s="23"/>
      <c r="N21" s="23"/>
      <c r="O21" s="23"/>
      <c r="P21" s="23"/>
      <c r="Q21" s="23"/>
      <c r="R21" s="23"/>
      <c r="S21" s="23"/>
      <c r="T21" s="23"/>
      <c r="U21" s="23"/>
      <c r="V21" s="23"/>
      <c r="W21" s="23"/>
      <c r="X21" s="23"/>
      <c r="Y21" s="23"/>
      <c r="Z21" s="23"/>
      <c r="AA21" s="23"/>
      <c r="AB21" s="23"/>
      <c r="AC21" s="23"/>
      <c r="AD21" s="23"/>
      <c r="AE21" s="23"/>
      <c r="AF21" s="24"/>
    </row>
    <row r="22" spans="1:32" s="17" customFormat="1" ht="13.5" customHeight="1">
      <c r="A22" s="173"/>
      <c r="B22" s="184"/>
      <c r="C22" s="162" t="s">
        <v>104</v>
      </c>
      <c r="D22" s="163"/>
      <c r="E22" s="163"/>
      <c r="F22" s="163"/>
      <c r="G22" s="216"/>
      <c r="H22" s="29"/>
      <c r="I22" s="23"/>
      <c r="J22" s="23"/>
      <c r="K22" s="23"/>
      <c r="L22" s="23"/>
      <c r="M22" s="23"/>
      <c r="N22" s="23"/>
      <c r="O22" s="23"/>
      <c r="P22" s="23"/>
      <c r="Q22" s="23"/>
      <c r="R22" s="23"/>
      <c r="S22" s="23"/>
      <c r="T22" s="23"/>
      <c r="U22" s="23"/>
      <c r="V22" s="23"/>
      <c r="W22" s="23"/>
      <c r="X22" s="23"/>
      <c r="Y22" s="23"/>
      <c r="Z22" s="23"/>
      <c r="AA22" s="23"/>
      <c r="AB22" s="23"/>
      <c r="AC22" s="23"/>
      <c r="AD22" s="23"/>
      <c r="AE22" s="23"/>
      <c r="AF22" s="24"/>
    </row>
    <row r="23" spans="1:32" s="17" customFormat="1" ht="13.5" customHeight="1">
      <c r="A23" s="173"/>
      <c r="B23" s="184"/>
      <c r="C23" s="80"/>
      <c r="D23" s="228" t="s">
        <v>70</v>
      </c>
      <c r="E23" s="228"/>
      <c r="F23" s="228"/>
      <c r="G23" s="229"/>
      <c r="H23" s="82" t="s">
        <v>177</v>
      </c>
      <c r="I23" s="23"/>
      <c r="J23" s="23"/>
      <c r="K23" s="23"/>
      <c r="L23" s="23"/>
      <c r="M23" s="23"/>
      <c r="N23" s="23"/>
      <c r="O23" s="23"/>
      <c r="P23" s="23"/>
      <c r="Q23" s="23"/>
      <c r="R23" s="23"/>
      <c r="S23" s="23"/>
      <c r="T23" s="23"/>
      <c r="U23" s="23"/>
      <c r="V23" s="23"/>
      <c r="W23" s="23"/>
      <c r="X23" s="23"/>
      <c r="Y23" s="23"/>
      <c r="Z23" s="23"/>
      <c r="AA23" s="23"/>
      <c r="AB23" s="23"/>
      <c r="AC23" s="23"/>
      <c r="AD23" s="23"/>
      <c r="AE23" s="23"/>
      <c r="AF23" s="24"/>
    </row>
    <row r="24" spans="1:32" s="17" customFormat="1" ht="13.5" customHeight="1">
      <c r="A24" s="173"/>
      <c r="B24" s="184"/>
      <c r="C24" s="162" t="s">
        <v>105</v>
      </c>
      <c r="D24" s="163"/>
      <c r="E24" s="163"/>
      <c r="F24" s="163"/>
      <c r="G24" s="216"/>
      <c r="H24" s="29"/>
      <c r="I24" s="23"/>
      <c r="J24" s="23"/>
      <c r="K24" s="23"/>
      <c r="L24" s="23"/>
      <c r="M24" s="23"/>
      <c r="N24" s="23"/>
      <c r="O24" s="23"/>
      <c r="P24" s="23"/>
      <c r="Q24" s="23"/>
      <c r="R24" s="23"/>
      <c r="S24" s="23"/>
      <c r="T24" s="23"/>
      <c r="U24" s="23"/>
      <c r="V24" s="23"/>
      <c r="W24" s="23"/>
      <c r="X24" s="23"/>
      <c r="Y24" s="23"/>
      <c r="Z24" s="23"/>
      <c r="AA24" s="23"/>
      <c r="AB24" s="23"/>
      <c r="AC24" s="23"/>
      <c r="AD24" s="23"/>
      <c r="AE24" s="23"/>
      <c r="AF24" s="24"/>
    </row>
    <row r="25" spans="1:32" s="17" customFormat="1" ht="13.5" customHeight="1">
      <c r="A25" s="173"/>
      <c r="B25" s="184"/>
      <c r="C25" s="80"/>
      <c r="D25" s="228" t="s">
        <v>70</v>
      </c>
      <c r="E25" s="228"/>
      <c r="F25" s="228"/>
      <c r="G25" s="229"/>
      <c r="H25" s="82" t="s">
        <v>177</v>
      </c>
      <c r="I25" s="23"/>
      <c r="J25" s="23"/>
      <c r="K25" s="23"/>
      <c r="L25" s="23"/>
      <c r="M25" s="23"/>
      <c r="N25" s="23"/>
      <c r="O25" s="23"/>
      <c r="P25" s="23"/>
      <c r="Q25" s="23"/>
      <c r="R25" s="23"/>
      <c r="S25" s="23"/>
      <c r="T25" s="23"/>
      <c r="U25" s="23"/>
      <c r="V25" s="23"/>
      <c r="W25" s="23"/>
      <c r="X25" s="23"/>
      <c r="Y25" s="23"/>
      <c r="Z25" s="23"/>
      <c r="AA25" s="23"/>
      <c r="AB25" s="23"/>
      <c r="AC25" s="23"/>
      <c r="AD25" s="23"/>
      <c r="AE25" s="23"/>
      <c r="AF25" s="24"/>
    </row>
    <row r="26" spans="1:32" s="17" customFormat="1" ht="13.5" customHeight="1">
      <c r="A26" s="173"/>
      <c r="B26" s="184"/>
      <c r="C26" s="162" t="s">
        <v>106</v>
      </c>
      <c r="D26" s="163"/>
      <c r="E26" s="163"/>
      <c r="F26" s="163"/>
      <c r="G26" s="216"/>
      <c r="H26" s="29"/>
      <c r="I26" s="23"/>
      <c r="J26" s="23"/>
      <c r="K26" s="23"/>
      <c r="L26" s="23"/>
      <c r="M26" s="23"/>
      <c r="N26" s="23"/>
      <c r="O26" s="23"/>
      <c r="P26" s="23"/>
      <c r="Q26" s="23"/>
      <c r="R26" s="23"/>
      <c r="S26" s="23"/>
      <c r="T26" s="23"/>
      <c r="U26" s="23"/>
      <c r="V26" s="23"/>
      <c r="W26" s="23"/>
      <c r="X26" s="23"/>
      <c r="Y26" s="23"/>
      <c r="Z26" s="23"/>
      <c r="AA26" s="23"/>
      <c r="AB26" s="23"/>
      <c r="AC26" s="23"/>
      <c r="AD26" s="23"/>
      <c r="AE26" s="23"/>
      <c r="AF26" s="24"/>
    </row>
    <row r="27" spans="1:32" s="17" customFormat="1" ht="13.5" customHeight="1">
      <c r="A27" s="173"/>
      <c r="B27" s="184"/>
      <c r="C27" s="80"/>
      <c r="D27" s="228" t="s">
        <v>70</v>
      </c>
      <c r="E27" s="228"/>
      <c r="F27" s="228"/>
      <c r="G27" s="229"/>
      <c r="H27" s="82" t="s">
        <v>177</v>
      </c>
      <c r="I27" s="23"/>
      <c r="J27" s="23"/>
      <c r="K27" s="23"/>
      <c r="L27" s="23"/>
      <c r="M27" s="23"/>
      <c r="N27" s="23"/>
      <c r="O27" s="23"/>
      <c r="P27" s="23"/>
      <c r="Q27" s="23"/>
      <c r="R27" s="23"/>
      <c r="S27" s="23"/>
      <c r="T27" s="23"/>
      <c r="U27" s="23"/>
      <c r="V27" s="23"/>
      <c r="W27" s="23"/>
      <c r="X27" s="23"/>
      <c r="Y27" s="23"/>
      <c r="Z27" s="23"/>
      <c r="AA27" s="23"/>
      <c r="AB27" s="23"/>
      <c r="AC27" s="23"/>
      <c r="AD27" s="23"/>
      <c r="AE27" s="23"/>
      <c r="AF27" s="24"/>
    </row>
    <row r="28" spans="1:32" s="17" customFormat="1" ht="13.5" customHeight="1">
      <c r="A28" s="173"/>
      <c r="B28" s="184"/>
      <c r="C28" s="162" t="s">
        <v>107</v>
      </c>
      <c r="D28" s="163"/>
      <c r="E28" s="163"/>
      <c r="F28" s="163"/>
      <c r="G28" s="216"/>
      <c r="H28" s="29"/>
      <c r="I28" s="23"/>
      <c r="J28" s="23"/>
      <c r="K28" s="23"/>
      <c r="L28" s="23"/>
      <c r="M28" s="23"/>
      <c r="N28" s="23"/>
      <c r="O28" s="23"/>
      <c r="P28" s="23"/>
      <c r="Q28" s="23"/>
      <c r="R28" s="23"/>
      <c r="S28" s="23"/>
      <c r="T28" s="23"/>
      <c r="U28" s="23"/>
      <c r="V28" s="23"/>
      <c r="W28" s="23"/>
      <c r="X28" s="23"/>
      <c r="Y28" s="23"/>
      <c r="Z28" s="23"/>
      <c r="AA28" s="23"/>
      <c r="AB28" s="23"/>
      <c r="AC28" s="23"/>
      <c r="AD28" s="23"/>
      <c r="AE28" s="23"/>
      <c r="AF28" s="24"/>
    </row>
    <row r="29" spans="1:32" s="17" customFormat="1" ht="13.5" customHeight="1">
      <c r="A29" s="173"/>
      <c r="B29" s="184"/>
      <c r="C29" s="80"/>
      <c r="D29" s="228" t="s">
        <v>70</v>
      </c>
      <c r="E29" s="228"/>
      <c r="F29" s="228"/>
      <c r="G29" s="229"/>
      <c r="H29" s="82" t="s">
        <v>177</v>
      </c>
      <c r="I29" s="23"/>
      <c r="J29" s="23"/>
      <c r="K29" s="23"/>
      <c r="L29" s="23"/>
      <c r="M29" s="23"/>
      <c r="N29" s="23"/>
      <c r="O29" s="23"/>
      <c r="P29" s="23"/>
      <c r="Q29" s="23"/>
      <c r="R29" s="23"/>
      <c r="S29" s="23"/>
      <c r="T29" s="23"/>
      <c r="U29" s="23"/>
      <c r="V29" s="23"/>
      <c r="W29" s="23"/>
      <c r="X29" s="23"/>
      <c r="Y29" s="23"/>
      <c r="Z29" s="23"/>
      <c r="AA29" s="23"/>
      <c r="AB29" s="23"/>
      <c r="AC29" s="23"/>
      <c r="AD29" s="23"/>
      <c r="AE29" s="23"/>
      <c r="AF29" s="24"/>
    </row>
    <row r="30" spans="1:32" s="17" customFormat="1" ht="13.5" customHeight="1">
      <c r="A30" s="173"/>
      <c r="B30" s="184"/>
      <c r="C30" s="162" t="s">
        <v>79</v>
      </c>
      <c r="D30" s="163"/>
      <c r="E30" s="163"/>
      <c r="F30" s="163"/>
      <c r="G30" s="216"/>
      <c r="H30" s="29"/>
      <c r="I30" s="23"/>
      <c r="J30" s="23"/>
      <c r="K30" s="23"/>
      <c r="L30" s="23"/>
      <c r="M30" s="23"/>
      <c r="N30" s="23"/>
      <c r="O30" s="23"/>
      <c r="P30" s="23"/>
      <c r="Q30" s="23"/>
      <c r="R30" s="23"/>
      <c r="S30" s="23"/>
      <c r="T30" s="23"/>
      <c r="U30" s="23"/>
      <c r="V30" s="23"/>
      <c r="W30" s="23"/>
      <c r="X30" s="23"/>
      <c r="Y30" s="23"/>
      <c r="Z30" s="23"/>
      <c r="AA30" s="23"/>
      <c r="AB30" s="23"/>
      <c r="AC30" s="23"/>
      <c r="AD30" s="23"/>
      <c r="AE30" s="23"/>
      <c r="AF30" s="24"/>
    </row>
    <row r="31" spans="1:32" s="17" customFormat="1" ht="13.5" customHeight="1">
      <c r="A31" s="173"/>
      <c r="B31" s="184"/>
      <c r="C31" s="80"/>
      <c r="D31" s="228" t="s">
        <v>70</v>
      </c>
      <c r="E31" s="228"/>
      <c r="F31" s="228"/>
      <c r="G31" s="229"/>
      <c r="H31" s="82" t="s">
        <v>177</v>
      </c>
      <c r="I31" s="23"/>
      <c r="J31" s="23"/>
      <c r="K31" s="23"/>
      <c r="L31" s="23"/>
      <c r="M31" s="23"/>
      <c r="N31" s="23"/>
      <c r="O31" s="23"/>
      <c r="P31" s="23"/>
      <c r="Q31" s="23"/>
      <c r="R31" s="23"/>
      <c r="S31" s="23"/>
      <c r="T31" s="23"/>
      <c r="U31" s="23"/>
      <c r="V31" s="23"/>
      <c r="W31" s="23"/>
      <c r="X31" s="23"/>
      <c r="Y31" s="23"/>
      <c r="Z31" s="23"/>
      <c r="AA31" s="23"/>
      <c r="AB31" s="23"/>
      <c r="AC31" s="23"/>
      <c r="AD31" s="23"/>
      <c r="AE31" s="23"/>
      <c r="AF31" s="24"/>
    </row>
    <row r="32" spans="1:32" s="17" customFormat="1" ht="13.5" customHeight="1">
      <c r="A32" s="173"/>
      <c r="B32" s="184"/>
      <c r="C32" s="162" t="s">
        <v>81</v>
      </c>
      <c r="D32" s="163"/>
      <c r="E32" s="163"/>
      <c r="F32" s="163"/>
      <c r="G32" s="216"/>
      <c r="H32" s="29"/>
      <c r="I32" s="23"/>
      <c r="J32" s="23"/>
      <c r="K32" s="23"/>
      <c r="L32" s="23"/>
      <c r="M32" s="23"/>
      <c r="N32" s="23"/>
      <c r="O32" s="23"/>
      <c r="P32" s="23"/>
      <c r="Q32" s="23"/>
      <c r="R32" s="23"/>
      <c r="S32" s="23"/>
      <c r="T32" s="23"/>
      <c r="U32" s="23"/>
      <c r="V32" s="23"/>
      <c r="W32" s="23"/>
      <c r="X32" s="23"/>
      <c r="Y32" s="23"/>
      <c r="Z32" s="23"/>
      <c r="AA32" s="23"/>
      <c r="AB32" s="23"/>
      <c r="AC32" s="23"/>
      <c r="AD32" s="23"/>
      <c r="AE32" s="23"/>
      <c r="AF32" s="24"/>
    </row>
    <row r="33" spans="1:32" s="17" customFormat="1" ht="13.5" customHeight="1">
      <c r="A33" s="173"/>
      <c r="B33" s="184"/>
      <c r="C33" s="81"/>
      <c r="D33" s="163" t="s">
        <v>108</v>
      </c>
      <c r="E33" s="163"/>
      <c r="F33" s="163"/>
      <c r="G33" s="216"/>
      <c r="H33" s="82" t="s">
        <v>177</v>
      </c>
      <c r="I33" s="23"/>
      <c r="J33" s="23"/>
      <c r="K33" s="23"/>
      <c r="L33" s="23"/>
      <c r="M33" s="23"/>
      <c r="N33" s="23"/>
      <c r="O33" s="23"/>
      <c r="P33" s="23"/>
      <c r="Q33" s="23"/>
      <c r="R33" s="23"/>
      <c r="S33" s="23"/>
      <c r="T33" s="23"/>
      <c r="U33" s="23"/>
      <c r="V33" s="23"/>
      <c r="W33" s="23"/>
      <c r="X33" s="23"/>
      <c r="Y33" s="23"/>
      <c r="Z33" s="23"/>
      <c r="AA33" s="23"/>
      <c r="AB33" s="23"/>
      <c r="AC33" s="23"/>
      <c r="AD33" s="23"/>
      <c r="AE33" s="23"/>
      <c r="AF33" s="24"/>
    </row>
    <row r="34" spans="1:32" s="17" customFormat="1" ht="13.5" customHeight="1">
      <c r="A34" s="173"/>
      <c r="B34" s="184"/>
      <c r="C34" s="162" t="s">
        <v>82</v>
      </c>
      <c r="D34" s="163"/>
      <c r="E34" s="163"/>
      <c r="F34" s="163"/>
      <c r="G34" s="216"/>
      <c r="H34" s="29"/>
      <c r="I34" s="23"/>
      <c r="J34" s="23"/>
      <c r="K34" s="23"/>
      <c r="L34" s="23"/>
      <c r="M34" s="23"/>
      <c r="N34" s="23"/>
      <c r="O34" s="23"/>
      <c r="P34" s="23"/>
      <c r="Q34" s="23"/>
      <c r="R34" s="23"/>
      <c r="S34" s="23"/>
      <c r="T34" s="23"/>
      <c r="U34" s="23"/>
      <c r="V34" s="23"/>
      <c r="W34" s="23"/>
      <c r="X34" s="23"/>
      <c r="Y34" s="23"/>
      <c r="Z34" s="23"/>
      <c r="AA34" s="23"/>
      <c r="AB34" s="23"/>
      <c r="AC34" s="23"/>
      <c r="AD34" s="23"/>
      <c r="AE34" s="23"/>
      <c r="AF34" s="24"/>
    </row>
    <row r="35" spans="1:32" s="17" customFormat="1" ht="13.5" customHeight="1">
      <c r="A35" s="173"/>
      <c r="B35" s="184"/>
      <c r="C35" s="81"/>
      <c r="D35" s="163" t="s">
        <v>108</v>
      </c>
      <c r="E35" s="163"/>
      <c r="F35" s="163"/>
      <c r="G35" s="216"/>
      <c r="H35" s="82" t="s">
        <v>177</v>
      </c>
      <c r="I35" s="23"/>
      <c r="J35" s="23"/>
      <c r="K35" s="23"/>
      <c r="L35" s="23"/>
      <c r="M35" s="23"/>
      <c r="N35" s="23"/>
      <c r="O35" s="23"/>
      <c r="P35" s="23"/>
      <c r="Q35" s="23"/>
      <c r="R35" s="23"/>
      <c r="S35" s="23"/>
      <c r="T35" s="23"/>
      <c r="U35" s="23"/>
      <c r="V35" s="23"/>
      <c r="W35" s="23"/>
      <c r="X35" s="23"/>
      <c r="Y35" s="23"/>
      <c r="Z35" s="23"/>
      <c r="AA35" s="23"/>
      <c r="AB35" s="23"/>
      <c r="AC35" s="23"/>
      <c r="AD35" s="23"/>
      <c r="AE35" s="23"/>
      <c r="AF35" s="24"/>
    </row>
    <row r="36" spans="1:32" s="17" customFormat="1" ht="13.5" customHeight="1">
      <c r="A36" s="173"/>
      <c r="B36" s="184"/>
      <c r="C36" s="162" t="s">
        <v>83</v>
      </c>
      <c r="D36" s="163"/>
      <c r="E36" s="163"/>
      <c r="F36" s="163"/>
      <c r="G36" s="216"/>
      <c r="H36" s="29"/>
      <c r="I36" s="23"/>
      <c r="J36" s="23"/>
      <c r="K36" s="23"/>
      <c r="L36" s="23"/>
      <c r="M36" s="23"/>
      <c r="N36" s="23"/>
      <c r="O36" s="23"/>
      <c r="P36" s="23"/>
      <c r="Q36" s="23"/>
      <c r="R36" s="23"/>
      <c r="S36" s="23"/>
      <c r="T36" s="23"/>
      <c r="U36" s="23"/>
      <c r="V36" s="23"/>
      <c r="W36" s="23"/>
      <c r="X36" s="23"/>
      <c r="Y36" s="23"/>
      <c r="Z36" s="23"/>
      <c r="AA36" s="23"/>
      <c r="AB36" s="23"/>
      <c r="AC36" s="23"/>
      <c r="AD36" s="23"/>
      <c r="AE36" s="23"/>
      <c r="AF36" s="24"/>
    </row>
    <row r="37" spans="1:32" s="17" customFormat="1" ht="13.5" customHeight="1">
      <c r="A37" s="173"/>
      <c r="B37" s="184"/>
      <c r="C37" s="81"/>
      <c r="D37" s="163" t="s">
        <v>108</v>
      </c>
      <c r="E37" s="163"/>
      <c r="F37" s="163"/>
      <c r="G37" s="216"/>
      <c r="H37" s="82" t="s">
        <v>177</v>
      </c>
      <c r="I37" s="23"/>
      <c r="J37" s="23"/>
      <c r="K37" s="23"/>
      <c r="L37" s="23"/>
      <c r="M37" s="23"/>
      <c r="N37" s="23"/>
      <c r="O37" s="23"/>
      <c r="P37" s="23"/>
      <c r="Q37" s="23"/>
      <c r="R37" s="23"/>
      <c r="S37" s="23"/>
      <c r="T37" s="23"/>
      <c r="U37" s="23"/>
      <c r="V37" s="23"/>
      <c r="W37" s="23"/>
      <c r="X37" s="23"/>
      <c r="Y37" s="23"/>
      <c r="Z37" s="23"/>
      <c r="AA37" s="23"/>
      <c r="AB37" s="23"/>
      <c r="AC37" s="23"/>
      <c r="AD37" s="23"/>
      <c r="AE37" s="23"/>
      <c r="AF37" s="24"/>
    </row>
    <row r="38" spans="1:32" s="17" customFormat="1" ht="13.5" customHeight="1">
      <c r="A38" s="173"/>
      <c r="B38" s="184"/>
      <c r="C38" s="162" t="s">
        <v>84</v>
      </c>
      <c r="D38" s="163"/>
      <c r="E38" s="163"/>
      <c r="F38" s="163"/>
      <c r="G38" s="216"/>
      <c r="H38" s="29"/>
      <c r="I38" s="30"/>
      <c r="J38" s="30"/>
      <c r="K38" s="30"/>
      <c r="L38" s="30"/>
      <c r="M38" s="30"/>
      <c r="N38" s="30"/>
      <c r="O38" s="30"/>
      <c r="P38" s="30"/>
      <c r="Q38" s="30"/>
      <c r="R38" s="30"/>
      <c r="S38" s="30"/>
      <c r="T38" s="30"/>
      <c r="U38" s="30"/>
      <c r="V38" s="30"/>
      <c r="W38" s="30"/>
      <c r="X38" s="30"/>
      <c r="Y38" s="30"/>
      <c r="Z38" s="30"/>
      <c r="AA38" s="30"/>
      <c r="AB38" s="30"/>
      <c r="AC38" s="30"/>
      <c r="AD38" s="30"/>
      <c r="AE38" s="30"/>
      <c r="AF38" s="31"/>
    </row>
    <row r="39" spans="1:32" s="17" customFormat="1" ht="13.5" customHeight="1">
      <c r="A39" s="173"/>
      <c r="B39" s="184"/>
      <c r="C39" s="81"/>
      <c r="D39" s="163" t="s">
        <v>108</v>
      </c>
      <c r="E39" s="163"/>
      <c r="F39" s="163"/>
      <c r="G39" s="216"/>
      <c r="H39" s="82" t="s">
        <v>177</v>
      </c>
      <c r="I39" s="30"/>
      <c r="J39" s="30"/>
      <c r="K39" s="30"/>
      <c r="L39" s="30"/>
      <c r="M39" s="30"/>
      <c r="N39" s="30"/>
      <c r="O39" s="30"/>
      <c r="P39" s="30"/>
      <c r="Q39" s="30"/>
      <c r="R39" s="30"/>
      <c r="S39" s="30"/>
      <c r="T39" s="30"/>
      <c r="U39" s="30"/>
      <c r="V39" s="30"/>
      <c r="W39" s="30"/>
      <c r="X39" s="30"/>
      <c r="Y39" s="30"/>
      <c r="Z39" s="30"/>
      <c r="AA39" s="30"/>
      <c r="AB39" s="30"/>
      <c r="AC39" s="30"/>
      <c r="AD39" s="30"/>
      <c r="AE39" s="30"/>
      <c r="AF39" s="31"/>
    </row>
    <row r="40" spans="1:32" s="17" customFormat="1" ht="13.5" customHeight="1">
      <c r="A40" s="173"/>
      <c r="B40" s="184"/>
      <c r="C40" s="162" t="s">
        <v>85</v>
      </c>
      <c r="D40" s="163"/>
      <c r="E40" s="163"/>
      <c r="F40" s="163"/>
      <c r="G40" s="216"/>
      <c r="H40" s="29"/>
      <c r="I40" s="30"/>
      <c r="J40" s="30"/>
      <c r="K40" s="30"/>
      <c r="L40" s="30"/>
      <c r="M40" s="30"/>
      <c r="N40" s="30"/>
      <c r="O40" s="30"/>
      <c r="P40" s="30"/>
      <c r="Q40" s="30"/>
      <c r="R40" s="30"/>
      <c r="S40" s="30"/>
      <c r="T40" s="30"/>
      <c r="U40" s="30"/>
      <c r="V40" s="30"/>
      <c r="W40" s="30"/>
      <c r="X40" s="30"/>
      <c r="Y40" s="30"/>
      <c r="Z40" s="30"/>
      <c r="AA40" s="30"/>
      <c r="AB40" s="30"/>
      <c r="AC40" s="30"/>
      <c r="AD40" s="30"/>
      <c r="AE40" s="30"/>
      <c r="AF40" s="31"/>
    </row>
    <row r="41" spans="1:32" s="17" customFormat="1" ht="15" customHeight="1" thickBot="1">
      <c r="A41" s="174"/>
      <c r="B41" s="238"/>
      <c r="C41" s="73"/>
      <c r="D41" s="276" t="s">
        <v>70</v>
      </c>
      <c r="E41" s="276"/>
      <c r="F41" s="276"/>
      <c r="G41" s="277"/>
      <c r="H41" s="84" t="s">
        <v>177</v>
      </c>
      <c r="I41" s="33"/>
      <c r="J41" s="33"/>
      <c r="K41" s="33"/>
      <c r="L41" s="33"/>
      <c r="M41" s="33"/>
      <c r="N41" s="33"/>
      <c r="O41" s="33"/>
      <c r="P41" s="33"/>
      <c r="Q41" s="33"/>
      <c r="R41" s="33"/>
      <c r="S41" s="33"/>
      <c r="T41" s="33"/>
      <c r="U41" s="33"/>
      <c r="V41" s="33"/>
      <c r="W41" s="33"/>
      <c r="X41" s="33"/>
      <c r="Y41" s="33"/>
      <c r="Z41" s="33"/>
      <c r="AA41" s="33"/>
      <c r="AB41" s="33"/>
      <c r="AC41" s="33"/>
      <c r="AD41" s="33"/>
      <c r="AE41" s="33"/>
      <c r="AF41" s="34"/>
    </row>
    <row r="42" spans="1:32" s="17" customFormat="1" ht="24" customHeight="1">
      <c r="A42" s="164" t="s">
        <v>94</v>
      </c>
      <c r="B42" s="272"/>
      <c r="C42" s="167"/>
      <c r="D42" s="167"/>
      <c r="E42" s="167"/>
      <c r="F42" s="168"/>
      <c r="G42" s="35" t="s">
        <v>95</v>
      </c>
      <c r="H42" s="36" t="s">
        <v>52</v>
      </c>
      <c r="I42" s="37"/>
      <c r="J42" s="37"/>
      <c r="K42" s="37"/>
      <c r="L42" s="37"/>
      <c r="M42" s="37"/>
      <c r="N42" s="37"/>
      <c r="O42" s="37"/>
      <c r="P42" s="37"/>
      <c r="Q42" s="37"/>
      <c r="R42" s="37"/>
      <c r="S42" s="37"/>
      <c r="T42" s="37"/>
      <c r="U42" s="37"/>
      <c r="V42" s="37"/>
      <c r="W42" s="37"/>
      <c r="X42" s="37"/>
      <c r="Y42" s="37"/>
      <c r="Z42" s="37"/>
      <c r="AA42" s="37"/>
      <c r="AB42" s="37"/>
      <c r="AC42" s="37"/>
      <c r="AD42" s="37"/>
      <c r="AE42" s="37"/>
      <c r="AF42" s="38"/>
    </row>
    <row r="43" spans="1:32" s="17" customFormat="1" ht="27" customHeight="1">
      <c r="A43" s="165"/>
      <c r="B43" s="169"/>
      <c r="C43" s="170"/>
      <c r="D43" s="170"/>
      <c r="E43" s="170"/>
      <c r="F43" s="171"/>
      <c r="G43" s="39" t="s">
        <v>96</v>
      </c>
      <c r="H43" s="40" t="s">
        <v>176</v>
      </c>
      <c r="I43" s="71"/>
      <c r="J43" s="71"/>
      <c r="K43" s="71"/>
      <c r="L43" s="71"/>
      <c r="M43" s="71"/>
      <c r="N43" s="71"/>
      <c r="O43" s="71"/>
      <c r="P43" s="71"/>
      <c r="Q43" s="71"/>
      <c r="R43" s="71"/>
      <c r="S43" s="71"/>
      <c r="T43" s="71"/>
      <c r="U43" s="71"/>
      <c r="V43" s="71"/>
      <c r="W43" s="71"/>
      <c r="X43" s="71"/>
      <c r="Y43" s="71"/>
      <c r="Z43" s="71"/>
      <c r="AA43" s="71"/>
      <c r="AB43" s="71"/>
      <c r="AC43" s="71"/>
      <c r="AD43" s="71"/>
      <c r="AE43" s="71"/>
      <c r="AF43" s="42"/>
    </row>
    <row r="44" spans="1:32" s="17" customFormat="1" ht="27" customHeight="1">
      <c r="A44" s="165"/>
      <c r="B44" s="169"/>
      <c r="C44" s="170"/>
      <c r="D44" s="170"/>
      <c r="E44" s="170"/>
      <c r="F44" s="171"/>
      <c r="G44" s="39" t="s">
        <v>97</v>
      </c>
      <c r="H44" s="43">
        <v>43703</v>
      </c>
      <c r="I44" s="44"/>
      <c r="J44" s="44"/>
      <c r="K44" s="44"/>
      <c r="L44" s="44"/>
      <c r="M44" s="44"/>
      <c r="N44" s="44"/>
      <c r="O44" s="44"/>
      <c r="P44" s="44"/>
      <c r="Q44" s="44"/>
      <c r="R44" s="44"/>
      <c r="S44" s="44"/>
      <c r="T44" s="44"/>
      <c r="U44" s="44"/>
      <c r="V44" s="44"/>
      <c r="W44" s="44"/>
      <c r="X44" s="44"/>
      <c r="Y44" s="44"/>
      <c r="Z44" s="44"/>
      <c r="AA44" s="44"/>
      <c r="AB44" s="44"/>
      <c r="AC44" s="44"/>
      <c r="AD44" s="44"/>
      <c r="AE44" s="44"/>
      <c r="AF44" s="45"/>
    </row>
    <row r="45" spans="1:32" s="17" customFormat="1" ht="24.75" customHeight="1">
      <c r="A45" s="165"/>
      <c r="B45" s="169"/>
      <c r="C45" s="170"/>
      <c r="D45" s="170"/>
      <c r="E45" s="170"/>
      <c r="F45" s="171"/>
      <c r="G45" s="74" t="s">
        <v>98</v>
      </c>
      <c r="H45" s="40" t="s">
        <v>157</v>
      </c>
      <c r="I45" s="71"/>
      <c r="J45" s="71"/>
      <c r="K45" s="71"/>
      <c r="L45" s="71"/>
      <c r="M45" s="71"/>
      <c r="N45" s="71"/>
      <c r="O45" s="71"/>
      <c r="P45" s="71"/>
      <c r="Q45" s="71"/>
      <c r="R45" s="71"/>
      <c r="S45" s="71"/>
      <c r="T45" s="71"/>
      <c r="U45" s="71"/>
      <c r="V45" s="71"/>
      <c r="W45" s="71"/>
      <c r="X45" s="71"/>
      <c r="Y45" s="71"/>
      <c r="Z45" s="71"/>
      <c r="AA45" s="71"/>
      <c r="AB45" s="71"/>
      <c r="AC45" s="71"/>
      <c r="AD45" s="71"/>
      <c r="AE45" s="71"/>
      <c r="AF45" s="42"/>
    </row>
    <row r="46" spans="1:32" s="17" customFormat="1" ht="24.75" customHeight="1">
      <c r="A46" s="204" t="s">
        <v>99</v>
      </c>
      <c r="B46" s="206" t="s">
        <v>100</v>
      </c>
      <c r="C46" s="206"/>
      <c r="D46" s="206"/>
      <c r="E46" s="206"/>
      <c r="F46" s="207"/>
      <c r="G46" s="208"/>
      <c r="H46" s="60"/>
      <c r="I46" s="53"/>
      <c r="J46" s="53"/>
      <c r="K46" s="53"/>
      <c r="L46" s="53"/>
      <c r="M46" s="53"/>
      <c r="N46" s="53"/>
      <c r="O46" s="53"/>
      <c r="P46" s="53"/>
      <c r="Q46" s="53"/>
      <c r="R46" s="53"/>
      <c r="S46" s="53"/>
      <c r="T46" s="53"/>
      <c r="U46" s="53"/>
      <c r="V46" s="53"/>
      <c r="W46" s="53"/>
      <c r="X46" s="53"/>
      <c r="Y46" s="53"/>
      <c r="Z46" s="53"/>
      <c r="AA46" s="53"/>
      <c r="AB46" s="53"/>
      <c r="AC46" s="53"/>
      <c r="AD46" s="53"/>
      <c r="AE46" s="53"/>
      <c r="AF46" s="54"/>
    </row>
    <row r="47" spans="1:32" s="17" customFormat="1" ht="36" customHeight="1" thickBot="1">
      <c r="A47" s="205"/>
      <c r="B47" s="192" t="s">
        <v>101</v>
      </c>
      <c r="C47" s="193"/>
      <c r="D47" s="193"/>
      <c r="E47" s="194"/>
      <c r="F47" s="192"/>
      <c r="G47" s="209"/>
      <c r="H47" s="61"/>
      <c r="I47" s="55"/>
      <c r="J47" s="55"/>
      <c r="K47" s="55"/>
      <c r="L47" s="55"/>
      <c r="M47" s="55"/>
      <c r="N47" s="55"/>
      <c r="O47" s="55"/>
      <c r="P47" s="55"/>
      <c r="Q47" s="55"/>
      <c r="R47" s="55"/>
      <c r="S47" s="55" t="str">
        <f t="shared" ref="S47:AF47" si="1">IF(S46="","",(SUM(LEN(S46)-LEN(SUBSTITUTE(S46,",","")))/LEN(",")) + 1 )</f>
        <v/>
      </c>
      <c r="T47" s="55" t="str">
        <f t="shared" si="1"/>
        <v/>
      </c>
      <c r="U47" s="55" t="str">
        <f t="shared" si="1"/>
        <v/>
      </c>
      <c r="V47" s="55" t="str">
        <f t="shared" si="1"/>
        <v/>
      </c>
      <c r="W47" s="55" t="str">
        <f t="shared" si="1"/>
        <v/>
      </c>
      <c r="X47" s="55" t="str">
        <f t="shared" si="1"/>
        <v/>
      </c>
      <c r="Y47" s="55" t="str">
        <f t="shared" si="1"/>
        <v/>
      </c>
      <c r="Z47" s="55" t="str">
        <f t="shared" si="1"/>
        <v/>
      </c>
      <c r="AA47" s="55" t="str">
        <f t="shared" si="1"/>
        <v/>
      </c>
      <c r="AB47" s="55" t="str">
        <f t="shared" si="1"/>
        <v/>
      </c>
      <c r="AC47" s="55" t="str">
        <f t="shared" si="1"/>
        <v/>
      </c>
      <c r="AD47" s="55" t="str">
        <f t="shared" si="1"/>
        <v/>
      </c>
      <c r="AE47" s="55" t="str">
        <f t="shared" si="1"/>
        <v/>
      </c>
      <c r="AF47" s="56" t="str">
        <f t="shared" si="1"/>
        <v/>
      </c>
    </row>
    <row r="48" spans="1:32" s="17" customFormat="1">
      <c r="H48" s="47"/>
      <c r="I48" s="47"/>
      <c r="J48" s="47"/>
      <c r="K48" s="47"/>
      <c r="L48" s="47"/>
      <c r="M48" s="47"/>
      <c r="N48" s="48"/>
      <c r="O48" s="49"/>
      <c r="P48" s="47"/>
      <c r="Q48" s="47"/>
      <c r="R48" s="47"/>
      <c r="S48" s="47"/>
      <c r="T48" s="47"/>
      <c r="U48" s="47"/>
      <c r="V48" s="47"/>
    </row>
  </sheetData>
  <sheetProtection insertRows="0"/>
  <protectedRanges>
    <protectedRange sqref="B1:O1 P2 T1 B2:E2" name="Range1_1"/>
    <protectedRange sqref="H46:AF46 I42:AF42 I43:AF45" name="Range3_1_1"/>
    <protectedRange sqref="H4:AF4 I5:AF41" name="Range2_1_1"/>
    <protectedRange sqref="B5:G6" name="Range2_1_2"/>
    <protectedRange sqref="B4:G4" name="Range2_1_2_1"/>
    <protectedRange sqref="B7:G41" name="Range2_1_3"/>
    <protectedRange sqref="H42" name="Range3_1_1_1"/>
    <protectedRange sqref="H40 H7:H8 H14 H16 H18 H20 H22 H24 H26 H28 H30 H32 H34 H36 H38 H12" name="Range2_1_1_1"/>
    <protectedRange sqref="H5:H6" name="Range2_1_6"/>
    <protectedRange sqref="H13" name="Range2_1_6_1"/>
    <protectedRange sqref="H15" name="Range2_1_6_2"/>
    <protectedRange sqref="H17" name="Range2_1_6_3"/>
    <protectedRange sqref="H9:H11 H19" name="Range2_1_6_4"/>
    <protectedRange sqref="H21" name="Range2_1_6_5"/>
    <protectedRange sqref="H23" name="Range2_1_6_6"/>
    <protectedRange sqref="H25" name="Range2_1_6_7"/>
    <protectedRange sqref="H27" name="Range2_1_6_8"/>
    <protectedRange sqref="H29" name="Range2_1_6_9"/>
    <protectedRange sqref="H31" name="Range2_1_6_10"/>
    <protectedRange sqref="H33" name="Range2_1_6_11"/>
    <protectedRange sqref="H35" name="Range2_1_6_12"/>
    <protectedRange sqref="H37" name="Range2_1_6_13"/>
    <protectedRange sqref="H39" name="Range2_1_6_14"/>
    <protectedRange sqref="H41" name="Range2_1_6_15"/>
    <protectedRange sqref="P2 AC2:AF2" name="Range1_1_1"/>
    <protectedRange sqref="AC1:AF1" name="Range1_1_1_1"/>
    <protectedRange sqref="H43:H45" name="Range3_1_1_2"/>
  </protectedRanges>
  <mergeCells count="63">
    <mergeCell ref="C8:G8"/>
    <mergeCell ref="D9:G9"/>
    <mergeCell ref="C10:G10"/>
    <mergeCell ref="D11:G11"/>
    <mergeCell ref="B8:B41"/>
    <mergeCell ref="D33:G33"/>
    <mergeCell ref="D35:G35"/>
    <mergeCell ref="D37:G37"/>
    <mergeCell ref="D39:G39"/>
    <mergeCell ref="D41:G41"/>
    <mergeCell ref="D15:G15"/>
    <mergeCell ref="C16:G16"/>
    <mergeCell ref="D17:G17"/>
    <mergeCell ref="C32:G32"/>
    <mergeCell ref="D21:G21"/>
    <mergeCell ref="C22:G22"/>
    <mergeCell ref="AC2:AF2"/>
    <mergeCell ref="B1:E1"/>
    <mergeCell ref="F1:O1"/>
    <mergeCell ref="P1:S1"/>
    <mergeCell ref="T1:Z1"/>
    <mergeCell ref="AA1:AB1"/>
    <mergeCell ref="AC1:AF1"/>
    <mergeCell ref="B2:E2"/>
    <mergeCell ref="F2:H2"/>
    <mergeCell ref="I2:O2"/>
    <mergeCell ref="P2:Z2"/>
    <mergeCell ref="AA2:AB2"/>
    <mergeCell ref="A7:A41"/>
    <mergeCell ref="B7:G7"/>
    <mergeCell ref="C12:G12"/>
    <mergeCell ref="C34:G34"/>
    <mergeCell ref="A4:A6"/>
    <mergeCell ref="B4:G4"/>
    <mergeCell ref="B5:G5"/>
    <mergeCell ref="C6:G6"/>
    <mergeCell ref="D13:G13"/>
    <mergeCell ref="C14:G14"/>
    <mergeCell ref="C18:G18"/>
    <mergeCell ref="D19:G19"/>
    <mergeCell ref="C20:G20"/>
    <mergeCell ref="C36:G36"/>
    <mergeCell ref="C38:G38"/>
    <mergeCell ref="C40:G40"/>
    <mergeCell ref="A46:A47"/>
    <mergeCell ref="B46:E46"/>
    <mergeCell ref="F46:G46"/>
    <mergeCell ref="B47:E47"/>
    <mergeCell ref="F47:G47"/>
    <mergeCell ref="A42:A45"/>
    <mergeCell ref="B42:F42"/>
    <mergeCell ref="B43:F43"/>
    <mergeCell ref="B44:F44"/>
    <mergeCell ref="B45:F45"/>
    <mergeCell ref="C28:G28"/>
    <mergeCell ref="D29:G29"/>
    <mergeCell ref="C30:G30"/>
    <mergeCell ref="D31:G31"/>
    <mergeCell ref="D23:G23"/>
    <mergeCell ref="C24:G24"/>
    <mergeCell ref="D25:G25"/>
    <mergeCell ref="C26:G26"/>
    <mergeCell ref="D27:G27"/>
  </mergeCells>
  <phoneticPr fontId="3"/>
  <conditionalFormatting sqref="H3:AF47">
    <cfRule type="expression" dxfId="26" priority="9" stopIfTrue="1">
      <formula>H$45="NA"</formula>
    </cfRule>
    <cfRule type="expression" dxfId="25" priority="10" stopIfTrue="1">
      <formula>H$45="NG"</formula>
    </cfRule>
  </conditionalFormatting>
  <conditionalFormatting sqref="H41 H21 H23 H25 H27 H29 H31 H33 H35 H37 H39 H13 H15 H17 H19 H5:H6 H9:H11">
    <cfRule type="expression" dxfId="24" priority="6" stopIfTrue="1">
      <formula>#REF!="NG"</formula>
    </cfRule>
    <cfRule type="expression" dxfId="23" priority="7" stopIfTrue="1">
      <formula>#REF!="NA"</formula>
    </cfRule>
    <cfRule type="expression" dxfId="22" priority="8" stopIfTrue="1">
      <formula>#REF!="NG"</formula>
    </cfRule>
  </conditionalFormatting>
  <conditionalFormatting sqref="H43:H45">
    <cfRule type="expression" dxfId="21" priority="1" stopIfTrue="1">
      <formula>H$95="NA"</formula>
    </cfRule>
    <cfRule type="expression" dxfId="20" priority="2" stopIfTrue="1">
      <formula>H$95="NG"</formula>
    </cfRule>
  </conditionalFormatting>
  <dataValidations count="10">
    <dataValidation allowBlank="1" showInputMessage="1" showErrorMessage="1" promptTitle="Condition Type" prompt="N : Normal _x000a_A : Abnormal _x000a_B : Boundary" sqref="G42"/>
    <dataValidation allowBlank="1" showInputMessage="1" showErrorMessage="1" promptTitle="Enter" prompt="Name of the person who performed the test" sqref="G43"/>
    <dataValidation allowBlank="1" showInputMessage="1" showErrorMessage="1" promptTitle="Testing Date" prompt="Date on which test was performed in yyyy/mm/dd format" sqref="G44"/>
    <dataValidation allowBlank="1" showInputMessage="1" showErrorMessage="1" promptTitle="Test Result" prompt="OK : Result is OK      _x000a_NG : Result is not as expected_x000a_NA : Not Applicable      _x000a_PT : Testing Pending (as Data not available/ cannot be generated currently)" sqref="G45"/>
    <dataValidation allowBlank="1" showInputMessage="1" showErrorMessage="1" promptTitle="Bug ID" prompt="Unique ID throughout the project._x000a_For every Bug found during Test as well as Re-Test, a new Bug ID needs to be entered here (as a comma seperated value)" sqref="B46:E46"/>
    <dataValidation allowBlank="1" showInputMessage="1" showErrorMessage="1" promptTitle="PCL sheet name" prompt=" " sqref="F46:G46"/>
    <dataValidation type="list" allowBlank="1" showInputMessage="1" showErrorMessage="1" sqref="H45:AF45">
      <formula1>"OK, NG, NA, PT"</formula1>
    </dataValidation>
    <dataValidation type="list" allowBlank="1" showInputMessage="1" showErrorMessage="1" sqref="H42:AF42">
      <formula1>"N, A, B"</formula1>
    </dataValidation>
    <dataValidation allowBlank="1" showInputMessage="1" showErrorMessage="1" promptTitle="Check points" prompt="that need / need not be executed" sqref="A7:A41"/>
    <dataValidation allowBlank="1" showInputMessage="1" showErrorMessage="1" promptTitle="Input conditions" prompt="that need to be checked." sqref="A4:A6"/>
  </dataValidations>
  <printOptions horizontalCentered="1"/>
  <pageMargins left="0.55118110236220474" right="0.46" top="0.98425196850393704" bottom="0.98425196850393704" header="0.51181102362204722" footer="0.51181102362204722"/>
  <pageSetup paperSize="9" scale="66" orientation="portrait" r:id="rId1"/>
  <headerFooter alignWithMargins="0">
    <oddHeader>&amp;LUKS-FMT-GBL-211-02.03&amp;C&amp;F:&amp;A&amp;R&amp;"Arial,Regular"&amp;10UKS-REC-XXX-XXX</oddHeader>
    <oddFooter>&amp;L&amp;"Arial,Regular"&amp;10Unikaihatsu Software Pvt.Ltd.&amp;C&amp;10This document is uncontrolled after printed.&amp;R&amp;"Arial,Regular"&amp;10Page &amp;P of &amp;N</oddFooter>
  </headerFooter>
  <drawing r:id="rId2"/>
  <legacyDrawing r:id="rId3"/>
</worksheet>
</file>

<file path=xl/worksheets/sheet7.xml><?xml version="1.0" encoding="utf-8"?>
<worksheet xmlns="http://schemas.openxmlformats.org/spreadsheetml/2006/main" xmlns:r="http://schemas.openxmlformats.org/officeDocument/2006/relationships">
  <dimension ref="A1:AF28"/>
  <sheetViews>
    <sheetView view="pageBreakPreview" zoomScale="70" zoomScaleNormal="70" zoomScaleSheetLayoutView="70" workbookViewId="0">
      <selection activeCell="R19" sqref="R19"/>
    </sheetView>
  </sheetViews>
  <sheetFormatPr defaultColWidth="3.625" defaultRowHeight="17.25"/>
  <cols>
    <col min="1" max="1" width="17.875" style="357" customWidth="1"/>
    <col min="2" max="3" width="2.625" style="357" customWidth="1"/>
    <col min="4" max="5" width="2.625" style="358" customWidth="1"/>
    <col min="6" max="6" width="15.625" style="358" customWidth="1"/>
    <col min="7" max="7" width="23.375" style="358" customWidth="1"/>
    <col min="8" max="8" width="7.125" style="359" customWidth="1"/>
    <col min="9" max="9" width="4.875" style="359" customWidth="1"/>
    <col min="10" max="10" width="4.25" style="359" customWidth="1"/>
    <col min="11" max="13" width="4.625" style="359" customWidth="1"/>
    <col min="14" max="14" width="3.75" style="359" customWidth="1"/>
    <col min="15" max="15" width="4.5" style="359" customWidth="1"/>
    <col min="16" max="16" width="3.125" style="359" customWidth="1"/>
    <col min="17" max="19" width="4.375" style="359" customWidth="1"/>
    <col min="20" max="22" width="3.625" style="359"/>
    <col min="23" max="256" width="3.625" style="283"/>
    <col min="257" max="257" width="17.875" style="283" customWidth="1"/>
    <col min="258" max="261" width="2.625" style="283" customWidth="1"/>
    <col min="262" max="262" width="15.625" style="283" customWidth="1"/>
    <col min="263" max="263" width="23.375" style="283" customWidth="1"/>
    <col min="264" max="264" width="5" style="283" customWidth="1"/>
    <col min="265" max="265" width="4.875" style="283" customWidth="1"/>
    <col min="266" max="266" width="4.25" style="283" customWidth="1"/>
    <col min="267" max="269" width="4.625" style="283" customWidth="1"/>
    <col min="270" max="270" width="3.75" style="283" customWidth="1"/>
    <col min="271" max="271" width="4.5" style="283" customWidth="1"/>
    <col min="272" max="272" width="3.125" style="283" customWidth="1"/>
    <col min="273" max="275" width="4.375" style="283" customWidth="1"/>
    <col min="276" max="512" width="3.625" style="283"/>
    <col min="513" max="513" width="17.875" style="283" customWidth="1"/>
    <col min="514" max="517" width="2.625" style="283" customWidth="1"/>
    <col min="518" max="518" width="15.625" style="283" customWidth="1"/>
    <col min="519" max="519" width="23.375" style="283" customWidth="1"/>
    <col min="520" max="520" width="5" style="283" customWidth="1"/>
    <col min="521" max="521" width="4.875" style="283" customWidth="1"/>
    <col min="522" max="522" width="4.25" style="283" customWidth="1"/>
    <col min="523" max="525" width="4.625" style="283" customWidth="1"/>
    <col min="526" max="526" width="3.75" style="283" customWidth="1"/>
    <col min="527" max="527" width="4.5" style="283" customWidth="1"/>
    <col min="528" max="528" width="3.125" style="283" customWidth="1"/>
    <col min="529" max="531" width="4.375" style="283" customWidth="1"/>
    <col min="532" max="768" width="3.625" style="283"/>
    <col min="769" max="769" width="17.875" style="283" customWidth="1"/>
    <col min="770" max="773" width="2.625" style="283" customWidth="1"/>
    <col min="774" max="774" width="15.625" style="283" customWidth="1"/>
    <col min="775" max="775" width="23.375" style="283" customWidth="1"/>
    <col min="776" max="776" width="5" style="283" customWidth="1"/>
    <col min="777" max="777" width="4.875" style="283" customWidth="1"/>
    <col min="778" max="778" width="4.25" style="283" customWidth="1"/>
    <col min="779" max="781" width="4.625" style="283" customWidth="1"/>
    <col min="782" max="782" width="3.75" style="283" customWidth="1"/>
    <col min="783" max="783" width="4.5" style="283" customWidth="1"/>
    <col min="784" max="784" width="3.125" style="283" customWidth="1"/>
    <col min="785" max="787" width="4.375" style="283" customWidth="1"/>
    <col min="788" max="1024" width="3.625" style="283"/>
    <col min="1025" max="1025" width="17.875" style="283" customWidth="1"/>
    <col min="1026" max="1029" width="2.625" style="283" customWidth="1"/>
    <col min="1030" max="1030" width="15.625" style="283" customWidth="1"/>
    <col min="1031" max="1031" width="23.375" style="283" customWidth="1"/>
    <col min="1032" max="1032" width="5" style="283" customWidth="1"/>
    <col min="1033" max="1033" width="4.875" style="283" customWidth="1"/>
    <col min="1034" max="1034" width="4.25" style="283" customWidth="1"/>
    <col min="1035" max="1037" width="4.625" style="283" customWidth="1"/>
    <col min="1038" max="1038" width="3.75" style="283" customWidth="1"/>
    <col min="1039" max="1039" width="4.5" style="283" customWidth="1"/>
    <col min="1040" max="1040" width="3.125" style="283" customWidth="1"/>
    <col min="1041" max="1043" width="4.375" style="283" customWidth="1"/>
    <col min="1044" max="1280" width="3.625" style="283"/>
    <col min="1281" max="1281" width="17.875" style="283" customWidth="1"/>
    <col min="1282" max="1285" width="2.625" style="283" customWidth="1"/>
    <col min="1286" max="1286" width="15.625" style="283" customWidth="1"/>
    <col min="1287" max="1287" width="23.375" style="283" customWidth="1"/>
    <col min="1288" max="1288" width="5" style="283" customWidth="1"/>
    <col min="1289" max="1289" width="4.875" style="283" customWidth="1"/>
    <col min="1290" max="1290" width="4.25" style="283" customWidth="1"/>
    <col min="1291" max="1293" width="4.625" style="283" customWidth="1"/>
    <col min="1294" max="1294" width="3.75" style="283" customWidth="1"/>
    <col min="1295" max="1295" width="4.5" style="283" customWidth="1"/>
    <col min="1296" max="1296" width="3.125" style="283" customWidth="1"/>
    <col min="1297" max="1299" width="4.375" style="283" customWidth="1"/>
    <col min="1300" max="1536" width="3.625" style="283"/>
    <col min="1537" max="1537" width="17.875" style="283" customWidth="1"/>
    <col min="1538" max="1541" width="2.625" style="283" customWidth="1"/>
    <col min="1542" max="1542" width="15.625" style="283" customWidth="1"/>
    <col min="1543" max="1543" width="23.375" style="283" customWidth="1"/>
    <col min="1544" max="1544" width="5" style="283" customWidth="1"/>
    <col min="1545" max="1545" width="4.875" style="283" customWidth="1"/>
    <col min="1546" max="1546" width="4.25" style="283" customWidth="1"/>
    <col min="1547" max="1549" width="4.625" style="283" customWidth="1"/>
    <col min="1550" max="1550" width="3.75" style="283" customWidth="1"/>
    <col min="1551" max="1551" width="4.5" style="283" customWidth="1"/>
    <col min="1552" max="1552" width="3.125" style="283" customWidth="1"/>
    <col min="1553" max="1555" width="4.375" style="283" customWidth="1"/>
    <col min="1556" max="1792" width="3.625" style="283"/>
    <col min="1793" max="1793" width="17.875" style="283" customWidth="1"/>
    <col min="1794" max="1797" width="2.625" style="283" customWidth="1"/>
    <col min="1798" max="1798" width="15.625" style="283" customWidth="1"/>
    <col min="1799" max="1799" width="23.375" style="283" customWidth="1"/>
    <col min="1800" max="1800" width="5" style="283" customWidth="1"/>
    <col min="1801" max="1801" width="4.875" style="283" customWidth="1"/>
    <col min="1802" max="1802" width="4.25" style="283" customWidth="1"/>
    <col min="1803" max="1805" width="4.625" style="283" customWidth="1"/>
    <col min="1806" max="1806" width="3.75" style="283" customWidth="1"/>
    <col min="1807" max="1807" width="4.5" style="283" customWidth="1"/>
    <col min="1808" max="1808" width="3.125" style="283" customWidth="1"/>
    <col min="1809" max="1811" width="4.375" style="283" customWidth="1"/>
    <col min="1812" max="2048" width="3.625" style="283"/>
    <col min="2049" max="2049" width="17.875" style="283" customWidth="1"/>
    <col min="2050" max="2053" width="2.625" style="283" customWidth="1"/>
    <col min="2054" max="2054" width="15.625" style="283" customWidth="1"/>
    <col min="2055" max="2055" width="23.375" style="283" customWidth="1"/>
    <col min="2056" max="2056" width="5" style="283" customWidth="1"/>
    <col min="2057" max="2057" width="4.875" style="283" customWidth="1"/>
    <col min="2058" max="2058" width="4.25" style="283" customWidth="1"/>
    <col min="2059" max="2061" width="4.625" style="283" customWidth="1"/>
    <col min="2062" max="2062" width="3.75" style="283" customWidth="1"/>
    <col min="2063" max="2063" width="4.5" style="283" customWidth="1"/>
    <col min="2064" max="2064" width="3.125" style="283" customWidth="1"/>
    <col min="2065" max="2067" width="4.375" style="283" customWidth="1"/>
    <col min="2068" max="2304" width="3.625" style="283"/>
    <col min="2305" max="2305" width="17.875" style="283" customWidth="1"/>
    <col min="2306" max="2309" width="2.625" style="283" customWidth="1"/>
    <col min="2310" max="2310" width="15.625" style="283" customWidth="1"/>
    <col min="2311" max="2311" width="23.375" style="283" customWidth="1"/>
    <col min="2312" max="2312" width="5" style="283" customWidth="1"/>
    <col min="2313" max="2313" width="4.875" style="283" customWidth="1"/>
    <col min="2314" max="2314" width="4.25" style="283" customWidth="1"/>
    <col min="2315" max="2317" width="4.625" style="283" customWidth="1"/>
    <col min="2318" max="2318" width="3.75" style="283" customWidth="1"/>
    <col min="2319" max="2319" width="4.5" style="283" customWidth="1"/>
    <col min="2320" max="2320" width="3.125" style="283" customWidth="1"/>
    <col min="2321" max="2323" width="4.375" style="283" customWidth="1"/>
    <col min="2324" max="2560" width="3.625" style="283"/>
    <col min="2561" max="2561" width="17.875" style="283" customWidth="1"/>
    <col min="2562" max="2565" width="2.625" style="283" customWidth="1"/>
    <col min="2566" max="2566" width="15.625" style="283" customWidth="1"/>
    <col min="2567" max="2567" width="23.375" style="283" customWidth="1"/>
    <col min="2568" max="2568" width="5" style="283" customWidth="1"/>
    <col min="2569" max="2569" width="4.875" style="283" customWidth="1"/>
    <col min="2570" max="2570" width="4.25" style="283" customWidth="1"/>
    <col min="2571" max="2573" width="4.625" style="283" customWidth="1"/>
    <col min="2574" max="2574" width="3.75" style="283" customWidth="1"/>
    <col min="2575" max="2575" width="4.5" style="283" customWidth="1"/>
    <col min="2576" max="2576" width="3.125" style="283" customWidth="1"/>
    <col min="2577" max="2579" width="4.375" style="283" customWidth="1"/>
    <col min="2580" max="2816" width="3.625" style="283"/>
    <col min="2817" max="2817" width="17.875" style="283" customWidth="1"/>
    <col min="2818" max="2821" width="2.625" style="283" customWidth="1"/>
    <col min="2822" max="2822" width="15.625" style="283" customWidth="1"/>
    <col min="2823" max="2823" width="23.375" style="283" customWidth="1"/>
    <col min="2824" max="2824" width="5" style="283" customWidth="1"/>
    <col min="2825" max="2825" width="4.875" style="283" customWidth="1"/>
    <col min="2826" max="2826" width="4.25" style="283" customWidth="1"/>
    <col min="2827" max="2829" width="4.625" style="283" customWidth="1"/>
    <col min="2830" max="2830" width="3.75" style="283" customWidth="1"/>
    <col min="2831" max="2831" width="4.5" style="283" customWidth="1"/>
    <col min="2832" max="2832" width="3.125" style="283" customWidth="1"/>
    <col min="2833" max="2835" width="4.375" style="283" customWidth="1"/>
    <col min="2836" max="3072" width="3.625" style="283"/>
    <col min="3073" max="3073" width="17.875" style="283" customWidth="1"/>
    <col min="3074" max="3077" width="2.625" style="283" customWidth="1"/>
    <col min="3078" max="3078" width="15.625" style="283" customWidth="1"/>
    <col min="3079" max="3079" width="23.375" style="283" customWidth="1"/>
    <col min="3080" max="3080" width="5" style="283" customWidth="1"/>
    <col min="3081" max="3081" width="4.875" style="283" customWidth="1"/>
    <col min="3082" max="3082" width="4.25" style="283" customWidth="1"/>
    <col min="3083" max="3085" width="4.625" style="283" customWidth="1"/>
    <col min="3086" max="3086" width="3.75" style="283" customWidth="1"/>
    <col min="3087" max="3087" width="4.5" style="283" customWidth="1"/>
    <col min="3088" max="3088" width="3.125" style="283" customWidth="1"/>
    <col min="3089" max="3091" width="4.375" style="283" customWidth="1"/>
    <col min="3092" max="3328" width="3.625" style="283"/>
    <col min="3329" max="3329" width="17.875" style="283" customWidth="1"/>
    <col min="3330" max="3333" width="2.625" style="283" customWidth="1"/>
    <col min="3334" max="3334" width="15.625" style="283" customWidth="1"/>
    <col min="3335" max="3335" width="23.375" style="283" customWidth="1"/>
    <col min="3336" max="3336" width="5" style="283" customWidth="1"/>
    <col min="3337" max="3337" width="4.875" style="283" customWidth="1"/>
    <col min="3338" max="3338" width="4.25" style="283" customWidth="1"/>
    <col min="3339" max="3341" width="4.625" style="283" customWidth="1"/>
    <col min="3342" max="3342" width="3.75" style="283" customWidth="1"/>
    <col min="3343" max="3343" width="4.5" style="283" customWidth="1"/>
    <col min="3344" max="3344" width="3.125" style="283" customWidth="1"/>
    <col min="3345" max="3347" width="4.375" style="283" customWidth="1"/>
    <col min="3348" max="3584" width="3.625" style="283"/>
    <col min="3585" max="3585" width="17.875" style="283" customWidth="1"/>
    <col min="3586" max="3589" width="2.625" style="283" customWidth="1"/>
    <col min="3590" max="3590" width="15.625" style="283" customWidth="1"/>
    <col min="3591" max="3591" width="23.375" style="283" customWidth="1"/>
    <col min="3592" max="3592" width="5" style="283" customWidth="1"/>
    <col min="3593" max="3593" width="4.875" style="283" customWidth="1"/>
    <col min="3594" max="3594" width="4.25" style="283" customWidth="1"/>
    <col min="3595" max="3597" width="4.625" style="283" customWidth="1"/>
    <col min="3598" max="3598" width="3.75" style="283" customWidth="1"/>
    <col min="3599" max="3599" width="4.5" style="283" customWidth="1"/>
    <col min="3600" max="3600" width="3.125" style="283" customWidth="1"/>
    <col min="3601" max="3603" width="4.375" style="283" customWidth="1"/>
    <col min="3604" max="3840" width="3.625" style="283"/>
    <col min="3841" max="3841" width="17.875" style="283" customWidth="1"/>
    <col min="3842" max="3845" width="2.625" style="283" customWidth="1"/>
    <col min="3846" max="3846" width="15.625" style="283" customWidth="1"/>
    <col min="3847" max="3847" width="23.375" style="283" customWidth="1"/>
    <col min="3848" max="3848" width="5" style="283" customWidth="1"/>
    <col min="3849" max="3849" width="4.875" style="283" customWidth="1"/>
    <col min="3850" max="3850" width="4.25" style="283" customWidth="1"/>
    <col min="3851" max="3853" width="4.625" style="283" customWidth="1"/>
    <col min="3854" max="3854" width="3.75" style="283" customWidth="1"/>
    <col min="3855" max="3855" width="4.5" style="283" customWidth="1"/>
    <col min="3856" max="3856" width="3.125" style="283" customWidth="1"/>
    <col min="3857" max="3859" width="4.375" style="283" customWidth="1"/>
    <col min="3860" max="4096" width="3.625" style="283"/>
    <col min="4097" max="4097" width="17.875" style="283" customWidth="1"/>
    <col min="4098" max="4101" width="2.625" style="283" customWidth="1"/>
    <col min="4102" max="4102" width="15.625" style="283" customWidth="1"/>
    <col min="4103" max="4103" width="23.375" style="283" customWidth="1"/>
    <col min="4104" max="4104" width="5" style="283" customWidth="1"/>
    <col min="4105" max="4105" width="4.875" style="283" customWidth="1"/>
    <col min="4106" max="4106" width="4.25" style="283" customWidth="1"/>
    <col min="4107" max="4109" width="4.625" style="283" customWidth="1"/>
    <col min="4110" max="4110" width="3.75" style="283" customWidth="1"/>
    <col min="4111" max="4111" width="4.5" style="283" customWidth="1"/>
    <col min="4112" max="4112" width="3.125" style="283" customWidth="1"/>
    <col min="4113" max="4115" width="4.375" style="283" customWidth="1"/>
    <col min="4116" max="4352" width="3.625" style="283"/>
    <col min="4353" max="4353" width="17.875" style="283" customWidth="1"/>
    <col min="4354" max="4357" width="2.625" style="283" customWidth="1"/>
    <col min="4358" max="4358" width="15.625" style="283" customWidth="1"/>
    <col min="4359" max="4359" width="23.375" style="283" customWidth="1"/>
    <col min="4360" max="4360" width="5" style="283" customWidth="1"/>
    <col min="4361" max="4361" width="4.875" style="283" customWidth="1"/>
    <col min="4362" max="4362" width="4.25" style="283" customWidth="1"/>
    <col min="4363" max="4365" width="4.625" style="283" customWidth="1"/>
    <col min="4366" max="4366" width="3.75" style="283" customWidth="1"/>
    <col min="4367" max="4367" width="4.5" style="283" customWidth="1"/>
    <col min="4368" max="4368" width="3.125" style="283" customWidth="1"/>
    <col min="4369" max="4371" width="4.375" style="283" customWidth="1"/>
    <col min="4372" max="4608" width="3.625" style="283"/>
    <col min="4609" max="4609" width="17.875" style="283" customWidth="1"/>
    <col min="4610" max="4613" width="2.625" style="283" customWidth="1"/>
    <col min="4614" max="4614" width="15.625" style="283" customWidth="1"/>
    <col min="4615" max="4615" width="23.375" style="283" customWidth="1"/>
    <col min="4616" max="4616" width="5" style="283" customWidth="1"/>
    <col min="4617" max="4617" width="4.875" style="283" customWidth="1"/>
    <col min="4618" max="4618" width="4.25" style="283" customWidth="1"/>
    <col min="4619" max="4621" width="4.625" style="283" customWidth="1"/>
    <col min="4622" max="4622" width="3.75" style="283" customWidth="1"/>
    <col min="4623" max="4623" width="4.5" style="283" customWidth="1"/>
    <col min="4624" max="4624" width="3.125" style="283" customWidth="1"/>
    <col min="4625" max="4627" width="4.375" style="283" customWidth="1"/>
    <col min="4628" max="4864" width="3.625" style="283"/>
    <col min="4865" max="4865" width="17.875" style="283" customWidth="1"/>
    <col min="4866" max="4869" width="2.625" style="283" customWidth="1"/>
    <col min="4870" max="4870" width="15.625" style="283" customWidth="1"/>
    <col min="4871" max="4871" width="23.375" style="283" customWidth="1"/>
    <col min="4872" max="4872" width="5" style="283" customWidth="1"/>
    <col min="4873" max="4873" width="4.875" style="283" customWidth="1"/>
    <col min="4874" max="4874" width="4.25" style="283" customWidth="1"/>
    <col min="4875" max="4877" width="4.625" style="283" customWidth="1"/>
    <col min="4878" max="4878" width="3.75" style="283" customWidth="1"/>
    <col min="4879" max="4879" width="4.5" style="283" customWidth="1"/>
    <col min="4880" max="4880" width="3.125" style="283" customWidth="1"/>
    <col min="4881" max="4883" width="4.375" style="283" customWidth="1"/>
    <col min="4884" max="5120" width="3.625" style="283"/>
    <col min="5121" max="5121" width="17.875" style="283" customWidth="1"/>
    <col min="5122" max="5125" width="2.625" style="283" customWidth="1"/>
    <col min="5126" max="5126" width="15.625" style="283" customWidth="1"/>
    <col min="5127" max="5127" width="23.375" style="283" customWidth="1"/>
    <col min="5128" max="5128" width="5" style="283" customWidth="1"/>
    <col min="5129" max="5129" width="4.875" style="283" customWidth="1"/>
    <col min="5130" max="5130" width="4.25" style="283" customWidth="1"/>
    <col min="5131" max="5133" width="4.625" style="283" customWidth="1"/>
    <col min="5134" max="5134" width="3.75" style="283" customWidth="1"/>
    <col min="5135" max="5135" width="4.5" style="283" customWidth="1"/>
    <col min="5136" max="5136" width="3.125" style="283" customWidth="1"/>
    <col min="5137" max="5139" width="4.375" style="283" customWidth="1"/>
    <col min="5140" max="5376" width="3.625" style="283"/>
    <col min="5377" max="5377" width="17.875" style="283" customWidth="1"/>
    <col min="5378" max="5381" width="2.625" style="283" customWidth="1"/>
    <col min="5382" max="5382" width="15.625" style="283" customWidth="1"/>
    <col min="5383" max="5383" width="23.375" style="283" customWidth="1"/>
    <col min="5384" max="5384" width="5" style="283" customWidth="1"/>
    <col min="5385" max="5385" width="4.875" style="283" customWidth="1"/>
    <col min="5386" max="5386" width="4.25" style="283" customWidth="1"/>
    <col min="5387" max="5389" width="4.625" style="283" customWidth="1"/>
    <col min="5390" max="5390" width="3.75" style="283" customWidth="1"/>
    <col min="5391" max="5391" width="4.5" style="283" customWidth="1"/>
    <col min="5392" max="5392" width="3.125" style="283" customWidth="1"/>
    <col min="5393" max="5395" width="4.375" style="283" customWidth="1"/>
    <col min="5396" max="5632" width="3.625" style="283"/>
    <col min="5633" max="5633" width="17.875" style="283" customWidth="1"/>
    <col min="5634" max="5637" width="2.625" style="283" customWidth="1"/>
    <col min="5638" max="5638" width="15.625" style="283" customWidth="1"/>
    <col min="5639" max="5639" width="23.375" style="283" customWidth="1"/>
    <col min="5640" max="5640" width="5" style="283" customWidth="1"/>
    <col min="5641" max="5641" width="4.875" style="283" customWidth="1"/>
    <col min="5642" max="5642" width="4.25" style="283" customWidth="1"/>
    <col min="5643" max="5645" width="4.625" style="283" customWidth="1"/>
    <col min="5646" max="5646" width="3.75" style="283" customWidth="1"/>
    <col min="5647" max="5647" width="4.5" style="283" customWidth="1"/>
    <col min="5648" max="5648" width="3.125" style="283" customWidth="1"/>
    <col min="5649" max="5651" width="4.375" style="283" customWidth="1"/>
    <col min="5652" max="5888" width="3.625" style="283"/>
    <col min="5889" max="5889" width="17.875" style="283" customWidth="1"/>
    <col min="5890" max="5893" width="2.625" style="283" customWidth="1"/>
    <col min="5894" max="5894" width="15.625" style="283" customWidth="1"/>
    <col min="5895" max="5895" width="23.375" style="283" customWidth="1"/>
    <col min="5896" max="5896" width="5" style="283" customWidth="1"/>
    <col min="5897" max="5897" width="4.875" style="283" customWidth="1"/>
    <col min="5898" max="5898" width="4.25" style="283" customWidth="1"/>
    <col min="5899" max="5901" width="4.625" style="283" customWidth="1"/>
    <col min="5902" max="5902" width="3.75" style="283" customWidth="1"/>
    <col min="5903" max="5903" width="4.5" style="283" customWidth="1"/>
    <col min="5904" max="5904" width="3.125" style="283" customWidth="1"/>
    <col min="5905" max="5907" width="4.375" style="283" customWidth="1"/>
    <col min="5908" max="6144" width="3.625" style="283"/>
    <col min="6145" max="6145" width="17.875" style="283" customWidth="1"/>
    <col min="6146" max="6149" width="2.625" style="283" customWidth="1"/>
    <col min="6150" max="6150" width="15.625" style="283" customWidth="1"/>
    <col min="6151" max="6151" width="23.375" style="283" customWidth="1"/>
    <col min="6152" max="6152" width="5" style="283" customWidth="1"/>
    <col min="6153" max="6153" width="4.875" style="283" customWidth="1"/>
    <col min="6154" max="6154" width="4.25" style="283" customWidth="1"/>
    <col min="6155" max="6157" width="4.625" style="283" customWidth="1"/>
    <col min="6158" max="6158" width="3.75" style="283" customWidth="1"/>
    <col min="6159" max="6159" width="4.5" style="283" customWidth="1"/>
    <col min="6160" max="6160" width="3.125" style="283" customWidth="1"/>
    <col min="6161" max="6163" width="4.375" style="283" customWidth="1"/>
    <col min="6164" max="6400" width="3.625" style="283"/>
    <col min="6401" max="6401" width="17.875" style="283" customWidth="1"/>
    <col min="6402" max="6405" width="2.625" style="283" customWidth="1"/>
    <col min="6406" max="6406" width="15.625" style="283" customWidth="1"/>
    <col min="6407" max="6407" width="23.375" style="283" customWidth="1"/>
    <col min="6408" max="6408" width="5" style="283" customWidth="1"/>
    <col min="6409" max="6409" width="4.875" style="283" customWidth="1"/>
    <col min="6410" max="6410" width="4.25" style="283" customWidth="1"/>
    <col min="6411" max="6413" width="4.625" style="283" customWidth="1"/>
    <col min="6414" max="6414" width="3.75" style="283" customWidth="1"/>
    <col min="6415" max="6415" width="4.5" style="283" customWidth="1"/>
    <col min="6416" max="6416" width="3.125" style="283" customWidth="1"/>
    <col min="6417" max="6419" width="4.375" style="283" customWidth="1"/>
    <col min="6420" max="6656" width="3.625" style="283"/>
    <col min="6657" max="6657" width="17.875" style="283" customWidth="1"/>
    <col min="6658" max="6661" width="2.625" style="283" customWidth="1"/>
    <col min="6662" max="6662" width="15.625" style="283" customWidth="1"/>
    <col min="6663" max="6663" width="23.375" style="283" customWidth="1"/>
    <col min="6664" max="6664" width="5" style="283" customWidth="1"/>
    <col min="6665" max="6665" width="4.875" style="283" customWidth="1"/>
    <col min="6666" max="6666" width="4.25" style="283" customWidth="1"/>
    <col min="6667" max="6669" width="4.625" style="283" customWidth="1"/>
    <col min="6670" max="6670" width="3.75" style="283" customWidth="1"/>
    <col min="6671" max="6671" width="4.5" style="283" customWidth="1"/>
    <col min="6672" max="6672" width="3.125" style="283" customWidth="1"/>
    <col min="6673" max="6675" width="4.375" style="283" customWidth="1"/>
    <col min="6676" max="6912" width="3.625" style="283"/>
    <col min="6913" max="6913" width="17.875" style="283" customWidth="1"/>
    <col min="6914" max="6917" width="2.625" style="283" customWidth="1"/>
    <col min="6918" max="6918" width="15.625" style="283" customWidth="1"/>
    <col min="6919" max="6919" width="23.375" style="283" customWidth="1"/>
    <col min="6920" max="6920" width="5" style="283" customWidth="1"/>
    <col min="6921" max="6921" width="4.875" style="283" customWidth="1"/>
    <col min="6922" max="6922" width="4.25" style="283" customWidth="1"/>
    <col min="6923" max="6925" width="4.625" style="283" customWidth="1"/>
    <col min="6926" max="6926" width="3.75" style="283" customWidth="1"/>
    <col min="6927" max="6927" width="4.5" style="283" customWidth="1"/>
    <col min="6928" max="6928" width="3.125" style="283" customWidth="1"/>
    <col min="6929" max="6931" width="4.375" style="283" customWidth="1"/>
    <col min="6932" max="7168" width="3.625" style="283"/>
    <col min="7169" max="7169" width="17.875" style="283" customWidth="1"/>
    <col min="7170" max="7173" width="2.625" style="283" customWidth="1"/>
    <col min="7174" max="7174" width="15.625" style="283" customWidth="1"/>
    <col min="7175" max="7175" width="23.375" style="283" customWidth="1"/>
    <col min="7176" max="7176" width="5" style="283" customWidth="1"/>
    <col min="7177" max="7177" width="4.875" style="283" customWidth="1"/>
    <col min="7178" max="7178" width="4.25" style="283" customWidth="1"/>
    <col min="7179" max="7181" width="4.625" style="283" customWidth="1"/>
    <col min="7182" max="7182" width="3.75" style="283" customWidth="1"/>
    <col min="7183" max="7183" width="4.5" style="283" customWidth="1"/>
    <col min="7184" max="7184" width="3.125" style="283" customWidth="1"/>
    <col min="7185" max="7187" width="4.375" style="283" customWidth="1"/>
    <col min="7188" max="7424" width="3.625" style="283"/>
    <col min="7425" max="7425" width="17.875" style="283" customWidth="1"/>
    <col min="7426" max="7429" width="2.625" style="283" customWidth="1"/>
    <col min="7430" max="7430" width="15.625" style="283" customWidth="1"/>
    <col min="7431" max="7431" width="23.375" style="283" customWidth="1"/>
    <col min="7432" max="7432" width="5" style="283" customWidth="1"/>
    <col min="7433" max="7433" width="4.875" style="283" customWidth="1"/>
    <col min="7434" max="7434" width="4.25" style="283" customWidth="1"/>
    <col min="7435" max="7437" width="4.625" style="283" customWidth="1"/>
    <col min="7438" max="7438" width="3.75" style="283" customWidth="1"/>
    <col min="7439" max="7439" width="4.5" style="283" customWidth="1"/>
    <col min="7440" max="7440" width="3.125" style="283" customWidth="1"/>
    <col min="7441" max="7443" width="4.375" style="283" customWidth="1"/>
    <col min="7444" max="7680" width="3.625" style="283"/>
    <col min="7681" max="7681" width="17.875" style="283" customWidth="1"/>
    <col min="7682" max="7685" width="2.625" style="283" customWidth="1"/>
    <col min="7686" max="7686" width="15.625" style="283" customWidth="1"/>
    <col min="7687" max="7687" width="23.375" style="283" customWidth="1"/>
    <col min="7688" max="7688" width="5" style="283" customWidth="1"/>
    <col min="7689" max="7689" width="4.875" style="283" customWidth="1"/>
    <col min="7690" max="7690" width="4.25" style="283" customWidth="1"/>
    <col min="7691" max="7693" width="4.625" style="283" customWidth="1"/>
    <col min="7694" max="7694" width="3.75" style="283" customWidth="1"/>
    <col min="7695" max="7695" width="4.5" style="283" customWidth="1"/>
    <col min="7696" max="7696" width="3.125" style="283" customWidth="1"/>
    <col min="7697" max="7699" width="4.375" style="283" customWidth="1"/>
    <col min="7700" max="7936" width="3.625" style="283"/>
    <col min="7937" max="7937" width="17.875" style="283" customWidth="1"/>
    <col min="7938" max="7941" width="2.625" style="283" customWidth="1"/>
    <col min="7942" max="7942" width="15.625" style="283" customWidth="1"/>
    <col min="7943" max="7943" width="23.375" style="283" customWidth="1"/>
    <col min="7944" max="7944" width="5" style="283" customWidth="1"/>
    <col min="7945" max="7945" width="4.875" style="283" customWidth="1"/>
    <col min="7946" max="7946" width="4.25" style="283" customWidth="1"/>
    <col min="7947" max="7949" width="4.625" style="283" customWidth="1"/>
    <col min="7950" max="7950" width="3.75" style="283" customWidth="1"/>
    <col min="7951" max="7951" width="4.5" style="283" customWidth="1"/>
    <col min="7952" max="7952" width="3.125" style="283" customWidth="1"/>
    <col min="7953" max="7955" width="4.375" style="283" customWidth="1"/>
    <col min="7956" max="8192" width="3.625" style="283"/>
    <col min="8193" max="8193" width="17.875" style="283" customWidth="1"/>
    <col min="8194" max="8197" width="2.625" style="283" customWidth="1"/>
    <col min="8198" max="8198" width="15.625" style="283" customWidth="1"/>
    <col min="8199" max="8199" width="23.375" style="283" customWidth="1"/>
    <col min="8200" max="8200" width="5" style="283" customWidth="1"/>
    <col min="8201" max="8201" width="4.875" style="283" customWidth="1"/>
    <col min="8202" max="8202" width="4.25" style="283" customWidth="1"/>
    <col min="8203" max="8205" width="4.625" style="283" customWidth="1"/>
    <col min="8206" max="8206" width="3.75" style="283" customWidth="1"/>
    <col min="8207" max="8207" width="4.5" style="283" customWidth="1"/>
    <col min="8208" max="8208" width="3.125" style="283" customWidth="1"/>
    <col min="8209" max="8211" width="4.375" style="283" customWidth="1"/>
    <col min="8212" max="8448" width="3.625" style="283"/>
    <col min="8449" max="8449" width="17.875" style="283" customWidth="1"/>
    <col min="8450" max="8453" width="2.625" style="283" customWidth="1"/>
    <col min="8454" max="8454" width="15.625" style="283" customWidth="1"/>
    <col min="8455" max="8455" width="23.375" style="283" customWidth="1"/>
    <col min="8456" max="8456" width="5" style="283" customWidth="1"/>
    <col min="8457" max="8457" width="4.875" style="283" customWidth="1"/>
    <col min="8458" max="8458" width="4.25" style="283" customWidth="1"/>
    <col min="8459" max="8461" width="4.625" style="283" customWidth="1"/>
    <col min="8462" max="8462" width="3.75" style="283" customWidth="1"/>
    <col min="8463" max="8463" width="4.5" style="283" customWidth="1"/>
    <col min="8464" max="8464" width="3.125" style="283" customWidth="1"/>
    <col min="8465" max="8467" width="4.375" style="283" customWidth="1"/>
    <col min="8468" max="8704" width="3.625" style="283"/>
    <col min="8705" max="8705" width="17.875" style="283" customWidth="1"/>
    <col min="8706" max="8709" width="2.625" style="283" customWidth="1"/>
    <col min="8710" max="8710" width="15.625" style="283" customWidth="1"/>
    <col min="8711" max="8711" width="23.375" style="283" customWidth="1"/>
    <col min="8712" max="8712" width="5" style="283" customWidth="1"/>
    <col min="8713" max="8713" width="4.875" style="283" customWidth="1"/>
    <col min="8714" max="8714" width="4.25" style="283" customWidth="1"/>
    <col min="8715" max="8717" width="4.625" style="283" customWidth="1"/>
    <col min="8718" max="8718" width="3.75" style="283" customWidth="1"/>
    <col min="8719" max="8719" width="4.5" style="283" customWidth="1"/>
    <col min="8720" max="8720" width="3.125" style="283" customWidth="1"/>
    <col min="8721" max="8723" width="4.375" style="283" customWidth="1"/>
    <col min="8724" max="8960" width="3.625" style="283"/>
    <col min="8961" max="8961" width="17.875" style="283" customWidth="1"/>
    <col min="8962" max="8965" width="2.625" style="283" customWidth="1"/>
    <col min="8966" max="8966" width="15.625" style="283" customWidth="1"/>
    <col min="8967" max="8967" width="23.375" style="283" customWidth="1"/>
    <col min="8968" max="8968" width="5" style="283" customWidth="1"/>
    <col min="8969" max="8969" width="4.875" style="283" customWidth="1"/>
    <col min="8970" max="8970" width="4.25" style="283" customWidth="1"/>
    <col min="8971" max="8973" width="4.625" style="283" customWidth="1"/>
    <col min="8974" max="8974" width="3.75" style="283" customWidth="1"/>
    <col min="8975" max="8975" width="4.5" style="283" customWidth="1"/>
    <col min="8976" max="8976" width="3.125" style="283" customWidth="1"/>
    <col min="8977" max="8979" width="4.375" style="283" customWidth="1"/>
    <col min="8980" max="9216" width="3.625" style="283"/>
    <col min="9217" max="9217" width="17.875" style="283" customWidth="1"/>
    <col min="9218" max="9221" width="2.625" style="283" customWidth="1"/>
    <col min="9222" max="9222" width="15.625" style="283" customWidth="1"/>
    <col min="9223" max="9223" width="23.375" style="283" customWidth="1"/>
    <col min="9224" max="9224" width="5" style="283" customWidth="1"/>
    <col min="9225" max="9225" width="4.875" style="283" customWidth="1"/>
    <col min="9226" max="9226" width="4.25" style="283" customWidth="1"/>
    <col min="9227" max="9229" width="4.625" style="283" customWidth="1"/>
    <col min="9230" max="9230" width="3.75" style="283" customWidth="1"/>
    <col min="9231" max="9231" width="4.5" style="283" customWidth="1"/>
    <col min="9232" max="9232" width="3.125" style="283" customWidth="1"/>
    <col min="9233" max="9235" width="4.375" style="283" customWidth="1"/>
    <col min="9236" max="9472" width="3.625" style="283"/>
    <col min="9473" max="9473" width="17.875" style="283" customWidth="1"/>
    <col min="9474" max="9477" width="2.625" style="283" customWidth="1"/>
    <col min="9478" max="9478" width="15.625" style="283" customWidth="1"/>
    <col min="9479" max="9479" width="23.375" style="283" customWidth="1"/>
    <col min="9480" max="9480" width="5" style="283" customWidth="1"/>
    <col min="9481" max="9481" width="4.875" style="283" customWidth="1"/>
    <col min="9482" max="9482" width="4.25" style="283" customWidth="1"/>
    <col min="9483" max="9485" width="4.625" style="283" customWidth="1"/>
    <col min="9486" max="9486" width="3.75" style="283" customWidth="1"/>
    <col min="9487" max="9487" width="4.5" style="283" customWidth="1"/>
    <col min="9488" max="9488" width="3.125" style="283" customWidth="1"/>
    <col min="9489" max="9491" width="4.375" style="283" customWidth="1"/>
    <col min="9492" max="9728" width="3.625" style="283"/>
    <col min="9729" max="9729" width="17.875" style="283" customWidth="1"/>
    <col min="9730" max="9733" width="2.625" style="283" customWidth="1"/>
    <col min="9734" max="9734" width="15.625" style="283" customWidth="1"/>
    <col min="9735" max="9735" width="23.375" style="283" customWidth="1"/>
    <col min="9736" max="9736" width="5" style="283" customWidth="1"/>
    <col min="9737" max="9737" width="4.875" style="283" customWidth="1"/>
    <col min="9738" max="9738" width="4.25" style="283" customWidth="1"/>
    <col min="9739" max="9741" width="4.625" style="283" customWidth="1"/>
    <col min="9742" max="9742" width="3.75" style="283" customWidth="1"/>
    <col min="9743" max="9743" width="4.5" style="283" customWidth="1"/>
    <col min="9744" max="9744" width="3.125" style="283" customWidth="1"/>
    <col min="9745" max="9747" width="4.375" style="283" customWidth="1"/>
    <col min="9748" max="9984" width="3.625" style="283"/>
    <col min="9985" max="9985" width="17.875" style="283" customWidth="1"/>
    <col min="9986" max="9989" width="2.625" style="283" customWidth="1"/>
    <col min="9990" max="9990" width="15.625" style="283" customWidth="1"/>
    <col min="9991" max="9991" width="23.375" style="283" customWidth="1"/>
    <col min="9992" max="9992" width="5" style="283" customWidth="1"/>
    <col min="9993" max="9993" width="4.875" style="283" customWidth="1"/>
    <col min="9994" max="9994" width="4.25" style="283" customWidth="1"/>
    <col min="9995" max="9997" width="4.625" style="283" customWidth="1"/>
    <col min="9998" max="9998" width="3.75" style="283" customWidth="1"/>
    <col min="9999" max="9999" width="4.5" style="283" customWidth="1"/>
    <col min="10000" max="10000" width="3.125" style="283" customWidth="1"/>
    <col min="10001" max="10003" width="4.375" style="283" customWidth="1"/>
    <col min="10004" max="10240" width="3.625" style="283"/>
    <col min="10241" max="10241" width="17.875" style="283" customWidth="1"/>
    <col min="10242" max="10245" width="2.625" style="283" customWidth="1"/>
    <col min="10246" max="10246" width="15.625" style="283" customWidth="1"/>
    <col min="10247" max="10247" width="23.375" style="283" customWidth="1"/>
    <col min="10248" max="10248" width="5" style="283" customWidth="1"/>
    <col min="10249" max="10249" width="4.875" style="283" customWidth="1"/>
    <col min="10250" max="10250" width="4.25" style="283" customWidth="1"/>
    <col min="10251" max="10253" width="4.625" style="283" customWidth="1"/>
    <col min="10254" max="10254" width="3.75" style="283" customWidth="1"/>
    <col min="10255" max="10255" width="4.5" style="283" customWidth="1"/>
    <col min="10256" max="10256" width="3.125" style="283" customWidth="1"/>
    <col min="10257" max="10259" width="4.375" style="283" customWidth="1"/>
    <col min="10260" max="10496" width="3.625" style="283"/>
    <col min="10497" max="10497" width="17.875" style="283" customWidth="1"/>
    <col min="10498" max="10501" width="2.625" style="283" customWidth="1"/>
    <col min="10502" max="10502" width="15.625" style="283" customWidth="1"/>
    <col min="10503" max="10503" width="23.375" style="283" customWidth="1"/>
    <col min="10504" max="10504" width="5" style="283" customWidth="1"/>
    <col min="10505" max="10505" width="4.875" style="283" customWidth="1"/>
    <col min="10506" max="10506" width="4.25" style="283" customWidth="1"/>
    <col min="10507" max="10509" width="4.625" style="283" customWidth="1"/>
    <col min="10510" max="10510" width="3.75" style="283" customWidth="1"/>
    <col min="10511" max="10511" width="4.5" style="283" customWidth="1"/>
    <col min="10512" max="10512" width="3.125" style="283" customWidth="1"/>
    <col min="10513" max="10515" width="4.375" style="283" customWidth="1"/>
    <col min="10516" max="10752" width="3.625" style="283"/>
    <col min="10753" max="10753" width="17.875" style="283" customWidth="1"/>
    <col min="10754" max="10757" width="2.625" style="283" customWidth="1"/>
    <col min="10758" max="10758" width="15.625" style="283" customWidth="1"/>
    <col min="10759" max="10759" width="23.375" style="283" customWidth="1"/>
    <col min="10760" max="10760" width="5" style="283" customWidth="1"/>
    <col min="10761" max="10761" width="4.875" style="283" customWidth="1"/>
    <col min="10762" max="10762" width="4.25" style="283" customWidth="1"/>
    <col min="10763" max="10765" width="4.625" style="283" customWidth="1"/>
    <col min="10766" max="10766" width="3.75" style="283" customWidth="1"/>
    <col min="10767" max="10767" width="4.5" style="283" customWidth="1"/>
    <col min="10768" max="10768" width="3.125" style="283" customWidth="1"/>
    <col min="10769" max="10771" width="4.375" style="283" customWidth="1"/>
    <col min="10772" max="11008" width="3.625" style="283"/>
    <col min="11009" max="11009" width="17.875" style="283" customWidth="1"/>
    <col min="11010" max="11013" width="2.625" style="283" customWidth="1"/>
    <col min="11014" max="11014" width="15.625" style="283" customWidth="1"/>
    <col min="11015" max="11015" width="23.375" style="283" customWidth="1"/>
    <col min="11016" max="11016" width="5" style="283" customWidth="1"/>
    <col min="11017" max="11017" width="4.875" style="283" customWidth="1"/>
    <col min="11018" max="11018" width="4.25" style="283" customWidth="1"/>
    <col min="11019" max="11021" width="4.625" style="283" customWidth="1"/>
    <col min="11022" max="11022" width="3.75" style="283" customWidth="1"/>
    <col min="11023" max="11023" width="4.5" style="283" customWidth="1"/>
    <col min="11024" max="11024" width="3.125" style="283" customWidth="1"/>
    <col min="11025" max="11027" width="4.375" style="283" customWidth="1"/>
    <col min="11028" max="11264" width="3.625" style="283"/>
    <col min="11265" max="11265" width="17.875" style="283" customWidth="1"/>
    <col min="11266" max="11269" width="2.625" style="283" customWidth="1"/>
    <col min="11270" max="11270" width="15.625" style="283" customWidth="1"/>
    <col min="11271" max="11271" width="23.375" style="283" customWidth="1"/>
    <col min="11272" max="11272" width="5" style="283" customWidth="1"/>
    <col min="11273" max="11273" width="4.875" style="283" customWidth="1"/>
    <col min="11274" max="11274" width="4.25" style="283" customWidth="1"/>
    <col min="11275" max="11277" width="4.625" style="283" customWidth="1"/>
    <col min="11278" max="11278" width="3.75" style="283" customWidth="1"/>
    <col min="11279" max="11279" width="4.5" style="283" customWidth="1"/>
    <col min="11280" max="11280" width="3.125" style="283" customWidth="1"/>
    <col min="11281" max="11283" width="4.375" style="283" customWidth="1"/>
    <col min="11284" max="11520" width="3.625" style="283"/>
    <col min="11521" max="11521" width="17.875" style="283" customWidth="1"/>
    <col min="11522" max="11525" width="2.625" style="283" customWidth="1"/>
    <col min="11526" max="11526" width="15.625" style="283" customWidth="1"/>
    <col min="11527" max="11527" width="23.375" style="283" customWidth="1"/>
    <col min="11528" max="11528" width="5" style="283" customWidth="1"/>
    <col min="11529" max="11529" width="4.875" style="283" customWidth="1"/>
    <col min="11530" max="11530" width="4.25" style="283" customWidth="1"/>
    <col min="11531" max="11533" width="4.625" style="283" customWidth="1"/>
    <col min="11534" max="11534" width="3.75" style="283" customWidth="1"/>
    <col min="11535" max="11535" width="4.5" style="283" customWidth="1"/>
    <col min="11536" max="11536" width="3.125" style="283" customWidth="1"/>
    <col min="11537" max="11539" width="4.375" style="283" customWidth="1"/>
    <col min="11540" max="11776" width="3.625" style="283"/>
    <col min="11777" max="11777" width="17.875" style="283" customWidth="1"/>
    <col min="11778" max="11781" width="2.625" style="283" customWidth="1"/>
    <col min="11782" max="11782" width="15.625" style="283" customWidth="1"/>
    <col min="11783" max="11783" width="23.375" style="283" customWidth="1"/>
    <col min="11784" max="11784" width="5" style="283" customWidth="1"/>
    <col min="11785" max="11785" width="4.875" style="283" customWidth="1"/>
    <col min="11786" max="11786" width="4.25" style="283" customWidth="1"/>
    <col min="11787" max="11789" width="4.625" style="283" customWidth="1"/>
    <col min="11790" max="11790" width="3.75" style="283" customWidth="1"/>
    <col min="11791" max="11791" width="4.5" style="283" customWidth="1"/>
    <col min="11792" max="11792" width="3.125" style="283" customWidth="1"/>
    <col min="11793" max="11795" width="4.375" style="283" customWidth="1"/>
    <col min="11796" max="12032" width="3.625" style="283"/>
    <col min="12033" max="12033" width="17.875" style="283" customWidth="1"/>
    <col min="12034" max="12037" width="2.625" style="283" customWidth="1"/>
    <col min="12038" max="12038" width="15.625" style="283" customWidth="1"/>
    <col min="12039" max="12039" width="23.375" style="283" customWidth="1"/>
    <col min="12040" max="12040" width="5" style="283" customWidth="1"/>
    <col min="12041" max="12041" width="4.875" style="283" customWidth="1"/>
    <col min="12042" max="12042" width="4.25" style="283" customWidth="1"/>
    <col min="12043" max="12045" width="4.625" style="283" customWidth="1"/>
    <col min="12046" max="12046" width="3.75" style="283" customWidth="1"/>
    <col min="12047" max="12047" width="4.5" style="283" customWidth="1"/>
    <col min="12048" max="12048" width="3.125" style="283" customWidth="1"/>
    <col min="12049" max="12051" width="4.375" style="283" customWidth="1"/>
    <col min="12052" max="12288" width="3.625" style="283"/>
    <col min="12289" max="12289" width="17.875" style="283" customWidth="1"/>
    <col min="12290" max="12293" width="2.625" style="283" customWidth="1"/>
    <col min="12294" max="12294" width="15.625" style="283" customWidth="1"/>
    <col min="12295" max="12295" width="23.375" style="283" customWidth="1"/>
    <col min="12296" max="12296" width="5" style="283" customWidth="1"/>
    <col min="12297" max="12297" width="4.875" style="283" customWidth="1"/>
    <col min="12298" max="12298" width="4.25" style="283" customWidth="1"/>
    <col min="12299" max="12301" width="4.625" style="283" customWidth="1"/>
    <col min="12302" max="12302" width="3.75" style="283" customWidth="1"/>
    <col min="12303" max="12303" width="4.5" style="283" customWidth="1"/>
    <col min="12304" max="12304" width="3.125" style="283" customWidth="1"/>
    <col min="12305" max="12307" width="4.375" style="283" customWidth="1"/>
    <col min="12308" max="12544" width="3.625" style="283"/>
    <col min="12545" max="12545" width="17.875" style="283" customWidth="1"/>
    <col min="12546" max="12549" width="2.625" style="283" customWidth="1"/>
    <col min="12550" max="12550" width="15.625" style="283" customWidth="1"/>
    <col min="12551" max="12551" width="23.375" style="283" customWidth="1"/>
    <col min="12552" max="12552" width="5" style="283" customWidth="1"/>
    <col min="12553" max="12553" width="4.875" style="283" customWidth="1"/>
    <col min="12554" max="12554" width="4.25" style="283" customWidth="1"/>
    <col min="12555" max="12557" width="4.625" style="283" customWidth="1"/>
    <col min="12558" max="12558" width="3.75" style="283" customWidth="1"/>
    <col min="12559" max="12559" width="4.5" style="283" customWidth="1"/>
    <col min="12560" max="12560" width="3.125" style="283" customWidth="1"/>
    <col min="12561" max="12563" width="4.375" style="283" customWidth="1"/>
    <col min="12564" max="12800" width="3.625" style="283"/>
    <col min="12801" max="12801" width="17.875" style="283" customWidth="1"/>
    <col min="12802" max="12805" width="2.625" style="283" customWidth="1"/>
    <col min="12806" max="12806" width="15.625" style="283" customWidth="1"/>
    <col min="12807" max="12807" width="23.375" style="283" customWidth="1"/>
    <col min="12808" max="12808" width="5" style="283" customWidth="1"/>
    <col min="12809" max="12809" width="4.875" style="283" customWidth="1"/>
    <col min="12810" max="12810" width="4.25" style="283" customWidth="1"/>
    <col min="12811" max="12813" width="4.625" style="283" customWidth="1"/>
    <col min="12814" max="12814" width="3.75" style="283" customWidth="1"/>
    <col min="12815" max="12815" width="4.5" style="283" customWidth="1"/>
    <col min="12816" max="12816" width="3.125" style="283" customWidth="1"/>
    <col min="12817" max="12819" width="4.375" style="283" customWidth="1"/>
    <col min="12820" max="13056" width="3.625" style="283"/>
    <col min="13057" max="13057" width="17.875" style="283" customWidth="1"/>
    <col min="13058" max="13061" width="2.625" style="283" customWidth="1"/>
    <col min="13062" max="13062" width="15.625" style="283" customWidth="1"/>
    <col min="13063" max="13063" width="23.375" style="283" customWidth="1"/>
    <col min="13064" max="13064" width="5" style="283" customWidth="1"/>
    <col min="13065" max="13065" width="4.875" style="283" customWidth="1"/>
    <col min="13066" max="13066" width="4.25" style="283" customWidth="1"/>
    <col min="13067" max="13069" width="4.625" style="283" customWidth="1"/>
    <col min="13070" max="13070" width="3.75" style="283" customWidth="1"/>
    <col min="13071" max="13071" width="4.5" style="283" customWidth="1"/>
    <col min="13072" max="13072" width="3.125" style="283" customWidth="1"/>
    <col min="13073" max="13075" width="4.375" style="283" customWidth="1"/>
    <col min="13076" max="13312" width="3.625" style="283"/>
    <col min="13313" max="13313" width="17.875" style="283" customWidth="1"/>
    <col min="13314" max="13317" width="2.625" style="283" customWidth="1"/>
    <col min="13318" max="13318" width="15.625" style="283" customWidth="1"/>
    <col min="13319" max="13319" width="23.375" style="283" customWidth="1"/>
    <col min="13320" max="13320" width="5" style="283" customWidth="1"/>
    <col min="13321" max="13321" width="4.875" style="283" customWidth="1"/>
    <col min="13322" max="13322" width="4.25" style="283" customWidth="1"/>
    <col min="13323" max="13325" width="4.625" style="283" customWidth="1"/>
    <col min="13326" max="13326" width="3.75" style="283" customWidth="1"/>
    <col min="13327" max="13327" width="4.5" style="283" customWidth="1"/>
    <col min="13328" max="13328" width="3.125" style="283" customWidth="1"/>
    <col min="13329" max="13331" width="4.375" style="283" customWidth="1"/>
    <col min="13332" max="13568" width="3.625" style="283"/>
    <col min="13569" max="13569" width="17.875" style="283" customWidth="1"/>
    <col min="13570" max="13573" width="2.625" style="283" customWidth="1"/>
    <col min="13574" max="13574" width="15.625" style="283" customWidth="1"/>
    <col min="13575" max="13575" width="23.375" style="283" customWidth="1"/>
    <col min="13576" max="13576" width="5" style="283" customWidth="1"/>
    <col min="13577" max="13577" width="4.875" style="283" customWidth="1"/>
    <col min="13578" max="13578" width="4.25" style="283" customWidth="1"/>
    <col min="13579" max="13581" width="4.625" style="283" customWidth="1"/>
    <col min="13582" max="13582" width="3.75" style="283" customWidth="1"/>
    <col min="13583" max="13583" width="4.5" style="283" customWidth="1"/>
    <col min="13584" max="13584" width="3.125" style="283" customWidth="1"/>
    <col min="13585" max="13587" width="4.375" style="283" customWidth="1"/>
    <col min="13588" max="13824" width="3.625" style="283"/>
    <col min="13825" max="13825" width="17.875" style="283" customWidth="1"/>
    <col min="13826" max="13829" width="2.625" style="283" customWidth="1"/>
    <col min="13830" max="13830" width="15.625" style="283" customWidth="1"/>
    <col min="13831" max="13831" width="23.375" style="283" customWidth="1"/>
    <col min="13832" max="13832" width="5" style="283" customWidth="1"/>
    <col min="13833" max="13833" width="4.875" style="283" customWidth="1"/>
    <col min="13834" max="13834" width="4.25" style="283" customWidth="1"/>
    <col min="13835" max="13837" width="4.625" style="283" customWidth="1"/>
    <col min="13838" max="13838" width="3.75" style="283" customWidth="1"/>
    <col min="13839" max="13839" width="4.5" style="283" customWidth="1"/>
    <col min="13840" max="13840" width="3.125" style="283" customWidth="1"/>
    <col min="13841" max="13843" width="4.375" style="283" customWidth="1"/>
    <col min="13844" max="14080" width="3.625" style="283"/>
    <col min="14081" max="14081" width="17.875" style="283" customWidth="1"/>
    <col min="14082" max="14085" width="2.625" style="283" customWidth="1"/>
    <col min="14086" max="14086" width="15.625" style="283" customWidth="1"/>
    <col min="14087" max="14087" width="23.375" style="283" customWidth="1"/>
    <col min="14088" max="14088" width="5" style="283" customWidth="1"/>
    <col min="14089" max="14089" width="4.875" style="283" customWidth="1"/>
    <col min="14090" max="14090" width="4.25" style="283" customWidth="1"/>
    <col min="14091" max="14093" width="4.625" style="283" customWidth="1"/>
    <col min="14094" max="14094" width="3.75" style="283" customWidth="1"/>
    <col min="14095" max="14095" width="4.5" style="283" customWidth="1"/>
    <col min="14096" max="14096" width="3.125" style="283" customWidth="1"/>
    <col min="14097" max="14099" width="4.375" style="283" customWidth="1"/>
    <col min="14100" max="14336" width="3.625" style="283"/>
    <col min="14337" max="14337" width="17.875" style="283" customWidth="1"/>
    <col min="14338" max="14341" width="2.625" style="283" customWidth="1"/>
    <col min="14342" max="14342" width="15.625" style="283" customWidth="1"/>
    <col min="14343" max="14343" width="23.375" style="283" customWidth="1"/>
    <col min="14344" max="14344" width="5" style="283" customWidth="1"/>
    <col min="14345" max="14345" width="4.875" style="283" customWidth="1"/>
    <col min="14346" max="14346" width="4.25" style="283" customWidth="1"/>
    <col min="14347" max="14349" width="4.625" style="283" customWidth="1"/>
    <col min="14350" max="14350" width="3.75" style="283" customWidth="1"/>
    <col min="14351" max="14351" width="4.5" style="283" customWidth="1"/>
    <col min="14352" max="14352" width="3.125" style="283" customWidth="1"/>
    <col min="14353" max="14355" width="4.375" style="283" customWidth="1"/>
    <col min="14356" max="14592" width="3.625" style="283"/>
    <col min="14593" max="14593" width="17.875" style="283" customWidth="1"/>
    <col min="14594" max="14597" width="2.625" style="283" customWidth="1"/>
    <col min="14598" max="14598" width="15.625" style="283" customWidth="1"/>
    <col min="14599" max="14599" width="23.375" style="283" customWidth="1"/>
    <col min="14600" max="14600" width="5" style="283" customWidth="1"/>
    <col min="14601" max="14601" width="4.875" style="283" customWidth="1"/>
    <col min="14602" max="14602" width="4.25" style="283" customWidth="1"/>
    <col min="14603" max="14605" width="4.625" style="283" customWidth="1"/>
    <col min="14606" max="14606" width="3.75" style="283" customWidth="1"/>
    <col min="14607" max="14607" width="4.5" style="283" customWidth="1"/>
    <col min="14608" max="14608" width="3.125" style="283" customWidth="1"/>
    <col min="14609" max="14611" width="4.375" style="283" customWidth="1"/>
    <col min="14612" max="14848" width="3.625" style="283"/>
    <col min="14849" max="14849" width="17.875" style="283" customWidth="1"/>
    <col min="14850" max="14853" width="2.625" style="283" customWidth="1"/>
    <col min="14854" max="14854" width="15.625" style="283" customWidth="1"/>
    <col min="14855" max="14855" width="23.375" style="283" customWidth="1"/>
    <col min="14856" max="14856" width="5" style="283" customWidth="1"/>
    <col min="14857" max="14857" width="4.875" style="283" customWidth="1"/>
    <col min="14858" max="14858" width="4.25" style="283" customWidth="1"/>
    <col min="14859" max="14861" width="4.625" style="283" customWidth="1"/>
    <col min="14862" max="14862" width="3.75" style="283" customWidth="1"/>
    <col min="14863" max="14863" width="4.5" style="283" customWidth="1"/>
    <col min="14864" max="14864" width="3.125" style="283" customWidth="1"/>
    <col min="14865" max="14867" width="4.375" style="283" customWidth="1"/>
    <col min="14868" max="15104" width="3.625" style="283"/>
    <col min="15105" max="15105" width="17.875" style="283" customWidth="1"/>
    <col min="15106" max="15109" width="2.625" style="283" customWidth="1"/>
    <col min="15110" max="15110" width="15.625" style="283" customWidth="1"/>
    <col min="15111" max="15111" width="23.375" style="283" customWidth="1"/>
    <col min="15112" max="15112" width="5" style="283" customWidth="1"/>
    <col min="15113" max="15113" width="4.875" style="283" customWidth="1"/>
    <col min="15114" max="15114" width="4.25" style="283" customWidth="1"/>
    <col min="15115" max="15117" width="4.625" style="283" customWidth="1"/>
    <col min="15118" max="15118" width="3.75" style="283" customWidth="1"/>
    <col min="15119" max="15119" width="4.5" style="283" customWidth="1"/>
    <col min="15120" max="15120" width="3.125" style="283" customWidth="1"/>
    <col min="15121" max="15123" width="4.375" style="283" customWidth="1"/>
    <col min="15124" max="15360" width="3.625" style="283"/>
    <col min="15361" max="15361" width="17.875" style="283" customWidth="1"/>
    <col min="15362" max="15365" width="2.625" style="283" customWidth="1"/>
    <col min="15366" max="15366" width="15.625" style="283" customWidth="1"/>
    <col min="15367" max="15367" width="23.375" style="283" customWidth="1"/>
    <col min="15368" max="15368" width="5" style="283" customWidth="1"/>
    <col min="15369" max="15369" width="4.875" style="283" customWidth="1"/>
    <col min="15370" max="15370" width="4.25" style="283" customWidth="1"/>
    <col min="15371" max="15373" width="4.625" style="283" customWidth="1"/>
    <col min="15374" max="15374" width="3.75" style="283" customWidth="1"/>
    <col min="15375" max="15375" width="4.5" style="283" customWidth="1"/>
    <col min="15376" max="15376" width="3.125" style="283" customWidth="1"/>
    <col min="15377" max="15379" width="4.375" style="283" customWidth="1"/>
    <col min="15380" max="15616" width="3.625" style="283"/>
    <col min="15617" max="15617" width="17.875" style="283" customWidth="1"/>
    <col min="15618" max="15621" width="2.625" style="283" customWidth="1"/>
    <col min="15622" max="15622" width="15.625" style="283" customWidth="1"/>
    <col min="15623" max="15623" width="23.375" style="283" customWidth="1"/>
    <col min="15624" max="15624" width="5" style="283" customWidth="1"/>
    <col min="15625" max="15625" width="4.875" style="283" customWidth="1"/>
    <col min="15626" max="15626" width="4.25" style="283" customWidth="1"/>
    <col min="15627" max="15629" width="4.625" style="283" customWidth="1"/>
    <col min="15630" max="15630" width="3.75" style="283" customWidth="1"/>
    <col min="15631" max="15631" width="4.5" style="283" customWidth="1"/>
    <col min="15632" max="15632" width="3.125" style="283" customWidth="1"/>
    <col min="15633" max="15635" width="4.375" style="283" customWidth="1"/>
    <col min="15636" max="15872" width="3.625" style="283"/>
    <col min="15873" max="15873" width="17.875" style="283" customWidth="1"/>
    <col min="15874" max="15877" width="2.625" style="283" customWidth="1"/>
    <col min="15878" max="15878" width="15.625" style="283" customWidth="1"/>
    <col min="15879" max="15879" width="23.375" style="283" customWidth="1"/>
    <col min="15880" max="15880" width="5" style="283" customWidth="1"/>
    <col min="15881" max="15881" width="4.875" style="283" customWidth="1"/>
    <col min="15882" max="15882" width="4.25" style="283" customWidth="1"/>
    <col min="15883" max="15885" width="4.625" style="283" customWidth="1"/>
    <col min="15886" max="15886" width="3.75" style="283" customWidth="1"/>
    <col min="15887" max="15887" width="4.5" style="283" customWidth="1"/>
    <col min="15888" max="15888" width="3.125" style="283" customWidth="1"/>
    <col min="15889" max="15891" width="4.375" style="283" customWidth="1"/>
    <col min="15892" max="16128" width="3.625" style="283"/>
    <col min="16129" max="16129" width="17.875" style="283" customWidth="1"/>
    <col min="16130" max="16133" width="2.625" style="283" customWidth="1"/>
    <col min="16134" max="16134" width="15.625" style="283" customWidth="1"/>
    <col min="16135" max="16135" width="23.375" style="283" customWidth="1"/>
    <col min="16136" max="16136" width="5" style="283" customWidth="1"/>
    <col min="16137" max="16137" width="4.875" style="283" customWidth="1"/>
    <col min="16138" max="16138" width="4.25" style="283" customWidth="1"/>
    <col min="16139" max="16141" width="4.625" style="283" customWidth="1"/>
    <col min="16142" max="16142" width="3.75" style="283" customWidth="1"/>
    <col min="16143" max="16143" width="4.5" style="283" customWidth="1"/>
    <col min="16144" max="16144" width="3.125" style="283" customWidth="1"/>
    <col min="16145" max="16147" width="4.375" style="283" customWidth="1"/>
    <col min="16148" max="16384" width="3.625" style="283"/>
  </cols>
  <sheetData>
    <row r="1" spans="1:32" ht="19.5" thickBot="1">
      <c r="A1" s="278" t="s">
        <v>60</v>
      </c>
      <c r="B1" s="279" t="s">
        <v>195</v>
      </c>
      <c r="C1" s="279"/>
      <c r="D1" s="279"/>
      <c r="E1" s="279"/>
      <c r="F1" s="280" t="s">
        <v>204</v>
      </c>
      <c r="G1" s="280"/>
      <c r="H1" s="280"/>
      <c r="I1" s="280"/>
      <c r="J1" s="280"/>
      <c r="K1" s="280"/>
      <c r="L1" s="280"/>
      <c r="M1" s="280"/>
      <c r="N1" s="280"/>
      <c r="O1" s="280"/>
      <c r="P1" s="281" t="s">
        <v>61</v>
      </c>
      <c r="Q1" s="281"/>
      <c r="R1" s="281"/>
      <c r="S1" s="281"/>
      <c r="T1" s="279" t="s">
        <v>196</v>
      </c>
      <c r="U1" s="279"/>
      <c r="V1" s="279"/>
      <c r="W1" s="279"/>
      <c r="X1" s="279"/>
      <c r="Y1" s="279"/>
      <c r="Z1" s="279"/>
      <c r="AA1" s="281" t="s">
        <v>62</v>
      </c>
      <c r="AB1" s="281"/>
      <c r="AC1" s="282">
        <v>43703</v>
      </c>
      <c r="AD1" s="282"/>
      <c r="AE1" s="282"/>
      <c r="AF1" s="282"/>
    </row>
    <row r="2" spans="1:32" ht="20.100000000000001" customHeight="1" thickBot="1">
      <c r="A2" s="284" t="s">
        <v>63</v>
      </c>
      <c r="B2" s="285"/>
      <c r="C2" s="285"/>
      <c r="D2" s="285"/>
      <c r="E2" s="285"/>
      <c r="F2" s="285" t="s">
        <v>197</v>
      </c>
      <c r="G2" s="285"/>
      <c r="H2" s="285"/>
      <c r="I2" s="286" t="s">
        <v>203</v>
      </c>
      <c r="J2" s="286"/>
      <c r="K2" s="286"/>
      <c r="L2" s="286"/>
      <c r="M2" s="286"/>
      <c r="N2" s="286"/>
      <c r="O2" s="287"/>
      <c r="P2" s="288"/>
      <c r="Q2" s="288"/>
      <c r="R2" s="288"/>
      <c r="S2" s="288"/>
      <c r="T2" s="288"/>
      <c r="U2" s="288"/>
      <c r="V2" s="288"/>
      <c r="W2" s="288"/>
      <c r="X2" s="288"/>
      <c r="Y2" s="288"/>
      <c r="Z2" s="288"/>
      <c r="AA2" s="289" t="s">
        <v>128</v>
      </c>
      <c r="AB2" s="289"/>
      <c r="AC2" s="290" t="s">
        <v>198</v>
      </c>
      <c r="AD2" s="290"/>
      <c r="AE2" s="290"/>
      <c r="AF2" s="290"/>
    </row>
    <row r="3" spans="1:32" ht="36.950000000000003" customHeight="1" thickBot="1">
      <c r="A3" s="291" t="s">
        <v>64</v>
      </c>
      <c r="B3" s="292"/>
      <c r="C3" s="292"/>
      <c r="D3" s="292"/>
      <c r="E3" s="292"/>
      <c r="F3" s="292"/>
      <c r="G3" s="293" t="s">
        <v>65</v>
      </c>
      <c r="H3" s="294">
        <v>1</v>
      </c>
      <c r="I3" s="295"/>
      <c r="J3" s="295"/>
      <c r="K3" s="295"/>
      <c r="L3" s="295"/>
      <c r="M3" s="295"/>
      <c r="N3" s="295"/>
      <c r="O3" s="295"/>
      <c r="P3" s="295"/>
      <c r="Q3" s="295" t="str">
        <f>IF(COUNTA(Q4:Q24)&gt;0,IF(P3&gt;0,P3+1,""),"")</f>
        <v/>
      </c>
      <c r="R3" s="295" t="str">
        <f>IF(COUNTA(R4:R24)&gt;0,IF(Q3&gt;0,Q3+1,""),"")</f>
        <v/>
      </c>
      <c r="S3" s="295" t="str">
        <f>IF(COUNTA(S4:S24)&gt;0,IF(R3&gt;0,R3+1,""),"")</f>
        <v/>
      </c>
      <c r="T3" s="295" t="str">
        <f>IF(COUNTA(T4:T24)&gt;0,IF(S3&gt;0,S3+1,""),"")</f>
        <v/>
      </c>
      <c r="U3" s="295" t="str">
        <f>IF(COUNTA(U4:U24)&gt;0,IF(T3&gt;0,T3+1,""),"")</f>
        <v/>
      </c>
      <c r="V3" s="295" t="str">
        <f>IF(COUNTA(V4:V24)&gt;0,IF(U3&gt;0,U3+1,""),"")</f>
        <v/>
      </c>
      <c r="W3" s="295" t="str">
        <f>IF(COUNTA(W4:W24)&gt;0,IF(V3&gt;0,V3+1,""),"")</f>
        <v/>
      </c>
      <c r="X3" s="295" t="str">
        <f>IF(COUNTA(X4:X24)&gt;0,IF(W3&gt;0,W3+1,""),"")</f>
        <v/>
      </c>
      <c r="Y3" s="295" t="str">
        <f>IF(COUNTA(Y4:Y24)&gt;0,IF(X3&gt;0,X3+1,""),"")</f>
        <v/>
      </c>
      <c r="Z3" s="295" t="str">
        <f>IF(COUNTA(Z4:Z24)&gt;0,IF(Y3&gt;0,Y3+1,""),"")</f>
        <v/>
      </c>
      <c r="AA3" s="295" t="str">
        <f>IF(COUNTA(AA4:AA24)&gt;0,IF(Z3&gt;0,Z3+1,""),"")</f>
        <v/>
      </c>
      <c r="AB3" s="295" t="str">
        <f>IF(COUNTA(AB4:AB24)&gt;0,IF(AA3&gt;0,AA3+1,""),"")</f>
        <v/>
      </c>
      <c r="AC3" s="295" t="str">
        <f>IF(COUNTA(AC4:AC24)&gt;0,IF(AB3&gt;0,AB3+1,""),"")</f>
        <v/>
      </c>
      <c r="AD3" s="295" t="str">
        <f>IF(COUNTA(AD4:AD24)&gt;0,IF(AC3&gt;0,AC3+1,""),"")</f>
        <v/>
      </c>
      <c r="AE3" s="295" t="str">
        <f>IF(COUNTA(AE4:AE24)&gt;0,IF(AD3&gt;0,AD3+1,""),"")</f>
        <v/>
      </c>
      <c r="AF3" s="296" t="str">
        <f>IF(COUNTA(AF4:AF24)&gt;0,IF(AE3&gt;0,AE3+1,""),"")</f>
        <v/>
      </c>
    </row>
    <row r="4" spans="1:32" s="302" customFormat="1" ht="20.100000000000001" customHeight="1" thickBot="1">
      <c r="A4" s="297" t="s">
        <v>66</v>
      </c>
      <c r="B4" s="298" t="s">
        <v>206</v>
      </c>
      <c r="C4" s="298"/>
      <c r="D4" s="298"/>
      <c r="E4" s="298"/>
      <c r="F4" s="298"/>
      <c r="G4" s="299"/>
      <c r="H4" s="313" t="s">
        <v>201</v>
      </c>
      <c r="I4" s="313" t="s">
        <v>201</v>
      </c>
      <c r="J4" s="300"/>
      <c r="K4" s="300"/>
      <c r="L4" s="300"/>
      <c r="M4" s="300"/>
      <c r="N4" s="300"/>
      <c r="O4" s="300"/>
      <c r="P4" s="300"/>
      <c r="Q4" s="300"/>
      <c r="R4" s="300"/>
      <c r="S4" s="300"/>
      <c r="T4" s="300"/>
      <c r="U4" s="300"/>
      <c r="V4" s="300"/>
      <c r="W4" s="300"/>
      <c r="X4" s="300"/>
      <c r="Y4" s="300"/>
      <c r="Z4" s="300"/>
      <c r="AA4" s="300"/>
      <c r="AB4" s="300"/>
      <c r="AC4" s="300"/>
      <c r="AD4" s="300"/>
      <c r="AE4" s="300"/>
      <c r="AF4" s="301"/>
    </row>
    <row r="5" spans="1:32" s="302" customFormat="1" ht="19.350000000000001" customHeight="1" thickBot="1">
      <c r="A5" s="303"/>
      <c r="B5" s="304" t="s">
        <v>199</v>
      </c>
      <c r="C5" s="304"/>
      <c r="D5" s="304"/>
      <c r="E5" s="304"/>
      <c r="F5" s="304"/>
      <c r="G5" s="305"/>
      <c r="H5" s="306"/>
      <c r="I5" s="307"/>
      <c r="J5" s="307"/>
      <c r="K5" s="307"/>
      <c r="L5" s="307"/>
      <c r="M5" s="307"/>
      <c r="N5" s="307"/>
      <c r="O5" s="307"/>
      <c r="P5" s="307"/>
      <c r="Q5" s="307"/>
      <c r="R5" s="307"/>
      <c r="S5" s="307"/>
      <c r="T5" s="307"/>
      <c r="U5" s="308"/>
      <c r="V5" s="308"/>
      <c r="W5" s="308"/>
      <c r="X5" s="308"/>
      <c r="Y5" s="308"/>
      <c r="Z5" s="308"/>
      <c r="AA5" s="308"/>
      <c r="AB5" s="308"/>
      <c r="AC5" s="308"/>
      <c r="AD5" s="308"/>
      <c r="AE5" s="308"/>
      <c r="AF5" s="309"/>
    </row>
    <row r="6" spans="1:32" s="302" customFormat="1" ht="19.350000000000001" customHeight="1" thickBot="1">
      <c r="A6" s="303"/>
      <c r="B6" s="310"/>
      <c r="C6" s="311" t="s">
        <v>200</v>
      </c>
      <c r="D6" s="311"/>
      <c r="E6" s="311"/>
      <c r="F6" s="311"/>
      <c r="G6" s="312"/>
      <c r="I6" s="313" t="s">
        <v>201</v>
      </c>
      <c r="J6" s="307"/>
      <c r="K6" s="307"/>
      <c r="L6" s="307"/>
      <c r="M6" s="307"/>
      <c r="N6" s="307"/>
      <c r="O6" s="307"/>
      <c r="P6" s="307"/>
      <c r="Q6" s="307"/>
      <c r="R6" s="307"/>
      <c r="S6" s="307"/>
      <c r="T6" s="307"/>
      <c r="U6" s="307"/>
      <c r="V6" s="307"/>
      <c r="W6" s="307"/>
      <c r="X6" s="307"/>
      <c r="Y6" s="307"/>
      <c r="Z6" s="307"/>
      <c r="AA6" s="307"/>
      <c r="AB6" s="307"/>
      <c r="AC6" s="307"/>
      <c r="AD6" s="307"/>
      <c r="AE6" s="307"/>
      <c r="AF6" s="314"/>
    </row>
    <row r="7" spans="1:32" s="302" customFormat="1" ht="19.350000000000001" customHeight="1" thickBot="1">
      <c r="A7" s="315" t="s">
        <v>89</v>
      </c>
      <c r="B7" s="316" t="s">
        <v>209</v>
      </c>
      <c r="C7" s="316"/>
      <c r="D7" s="316"/>
      <c r="E7" s="316"/>
      <c r="F7" s="316"/>
      <c r="G7" s="317"/>
      <c r="H7" s="313" t="s">
        <v>201</v>
      </c>
      <c r="I7" s="318"/>
      <c r="J7" s="318"/>
      <c r="K7" s="318"/>
      <c r="L7" s="318"/>
      <c r="M7" s="318"/>
      <c r="N7" s="318"/>
      <c r="O7" s="318"/>
      <c r="P7" s="318"/>
      <c r="Q7" s="318"/>
      <c r="R7" s="318"/>
      <c r="S7" s="318"/>
      <c r="T7" s="318"/>
      <c r="U7" s="318"/>
      <c r="V7" s="318"/>
      <c r="W7" s="318"/>
      <c r="X7" s="318"/>
      <c r="Y7" s="318"/>
      <c r="Z7" s="319"/>
      <c r="AA7" s="319"/>
      <c r="AB7" s="319"/>
      <c r="AC7" s="319"/>
      <c r="AD7" s="319"/>
      <c r="AE7" s="319"/>
      <c r="AF7" s="320"/>
    </row>
    <row r="8" spans="1:32" s="302" customFormat="1" ht="19.350000000000001" customHeight="1" thickBot="1">
      <c r="A8" s="315"/>
      <c r="B8" s="360"/>
      <c r="C8" s="363" t="s">
        <v>210</v>
      </c>
      <c r="D8" s="364"/>
      <c r="E8" s="364"/>
      <c r="F8" s="364"/>
      <c r="G8" s="365"/>
      <c r="H8" s="313" t="s">
        <v>201</v>
      </c>
      <c r="I8" s="324"/>
      <c r="J8" s="324"/>
      <c r="K8" s="324"/>
      <c r="L8" s="324"/>
      <c r="M8" s="324"/>
      <c r="N8" s="324"/>
      <c r="O8" s="324"/>
      <c r="P8" s="324"/>
      <c r="Q8" s="324"/>
      <c r="R8" s="324"/>
      <c r="S8" s="324"/>
      <c r="T8" s="324"/>
      <c r="U8" s="324"/>
      <c r="V8" s="324"/>
      <c r="W8" s="324"/>
      <c r="X8" s="324"/>
      <c r="Y8" s="324"/>
      <c r="Z8" s="361"/>
      <c r="AA8" s="325"/>
      <c r="AB8" s="325"/>
      <c r="AC8" s="325"/>
      <c r="AD8" s="325"/>
      <c r="AE8" s="325"/>
      <c r="AF8" s="362"/>
    </row>
    <row r="9" spans="1:32" s="302" customFormat="1" ht="19.350000000000001" customHeight="1" thickBot="1">
      <c r="A9" s="315"/>
      <c r="B9" s="360"/>
      <c r="C9" s="363" t="s">
        <v>212</v>
      </c>
      <c r="D9" s="364"/>
      <c r="E9" s="364"/>
      <c r="F9" s="364"/>
      <c r="G9" s="365"/>
      <c r="H9" s="313" t="s">
        <v>201</v>
      </c>
      <c r="I9" s="324"/>
      <c r="J9" s="324"/>
      <c r="K9" s="324"/>
      <c r="L9" s="324"/>
      <c r="M9" s="324"/>
      <c r="N9" s="324"/>
      <c r="O9" s="324"/>
      <c r="P9" s="324"/>
      <c r="Q9" s="324"/>
      <c r="R9" s="324"/>
      <c r="S9" s="324"/>
      <c r="T9" s="324"/>
      <c r="U9" s="324"/>
      <c r="V9" s="324"/>
      <c r="W9" s="324"/>
      <c r="X9" s="324"/>
      <c r="Y9" s="324"/>
      <c r="Z9" s="361"/>
      <c r="AA9" s="325"/>
      <c r="AB9" s="325"/>
      <c r="AC9" s="325"/>
      <c r="AD9" s="325"/>
      <c r="AE9" s="325"/>
      <c r="AF9" s="362"/>
    </row>
    <row r="10" spans="1:32" s="302" customFormat="1" ht="19.350000000000001" customHeight="1" thickBot="1">
      <c r="A10" s="315"/>
      <c r="B10" s="360"/>
      <c r="C10" s="363" t="s">
        <v>214</v>
      </c>
      <c r="D10" s="364"/>
      <c r="E10" s="364"/>
      <c r="F10" s="364"/>
      <c r="G10" s="365"/>
      <c r="H10" s="313" t="s">
        <v>201</v>
      </c>
      <c r="I10" s="324"/>
      <c r="J10" s="324"/>
      <c r="K10" s="324"/>
      <c r="L10" s="324"/>
      <c r="M10" s="324"/>
      <c r="N10" s="324"/>
      <c r="O10" s="324"/>
      <c r="P10" s="324"/>
      <c r="Q10" s="324"/>
      <c r="R10" s="324"/>
      <c r="S10" s="324"/>
      <c r="T10" s="324"/>
      <c r="U10" s="324"/>
      <c r="V10" s="324"/>
      <c r="W10" s="324"/>
      <c r="X10" s="324"/>
      <c r="Y10" s="324"/>
      <c r="Z10" s="361"/>
      <c r="AA10" s="325"/>
      <c r="AB10" s="325"/>
      <c r="AC10" s="325"/>
      <c r="AD10" s="325"/>
      <c r="AE10" s="325"/>
      <c r="AF10" s="362"/>
    </row>
    <row r="11" spans="1:32" s="302" customFormat="1" ht="19.350000000000001" customHeight="1" thickBot="1">
      <c r="A11" s="315"/>
      <c r="B11" s="360"/>
      <c r="C11" s="363" t="s">
        <v>216</v>
      </c>
      <c r="D11" s="364"/>
      <c r="E11" s="364"/>
      <c r="F11" s="364"/>
      <c r="G11" s="365"/>
      <c r="H11" s="313" t="s">
        <v>201</v>
      </c>
      <c r="I11" s="324"/>
      <c r="J11" s="324"/>
      <c r="K11" s="324"/>
      <c r="L11" s="324"/>
      <c r="M11" s="324"/>
      <c r="N11" s="324"/>
      <c r="O11" s="324"/>
      <c r="P11" s="324"/>
      <c r="Q11" s="324"/>
      <c r="R11" s="324"/>
      <c r="S11" s="324"/>
      <c r="T11" s="324"/>
      <c r="U11" s="324"/>
      <c r="V11" s="324"/>
      <c r="W11" s="324"/>
      <c r="X11" s="324"/>
      <c r="Y11" s="324"/>
      <c r="Z11" s="361"/>
      <c r="AA11" s="325"/>
      <c r="AB11" s="325"/>
      <c r="AC11" s="325"/>
      <c r="AD11" s="325"/>
      <c r="AE11" s="325"/>
      <c r="AF11" s="362"/>
    </row>
    <row r="12" spans="1:32" s="302" customFormat="1" ht="19.350000000000001" customHeight="1" thickBot="1">
      <c r="A12" s="315"/>
      <c r="B12" s="360"/>
      <c r="C12" s="363" t="s">
        <v>217</v>
      </c>
      <c r="D12" s="364"/>
      <c r="E12" s="364"/>
      <c r="F12" s="364"/>
      <c r="G12" s="365"/>
      <c r="H12" s="313" t="s">
        <v>201</v>
      </c>
      <c r="I12" s="324"/>
      <c r="J12" s="324"/>
      <c r="K12" s="324"/>
      <c r="L12" s="324"/>
      <c r="M12" s="324"/>
      <c r="N12" s="324"/>
      <c r="O12" s="324"/>
      <c r="P12" s="324"/>
      <c r="Q12" s="324"/>
      <c r="R12" s="324"/>
      <c r="S12" s="324"/>
      <c r="T12" s="324"/>
      <c r="U12" s="324"/>
      <c r="V12" s="324"/>
      <c r="W12" s="324"/>
      <c r="X12" s="324"/>
      <c r="Y12" s="324"/>
      <c r="Z12" s="361"/>
      <c r="AA12" s="325"/>
      <c r="AB12" s="325"/>
      <c r="AC12" s="325"/>
      <c r="AD12" s="325"/>
      <c r="AE12" s="325"/>
      <c r="AF12" s="362"/>
    </row>
    <row r="13" spans="1:32" s="302" customFormat="1" ht="19.350000000000001" customHeight="1" thickBot="1">
      <c r="A13" s="315"/>
      <c r="B13" s="360"/>
      <c r="C13" s="363" t="s">
        <v>218</v>
      </c>
      <c r="D13" s="364"/>
      <c r="E13" s="364"/>
      <c r="F13" s="364"/>
      <c r="G13" s="365"/>
      <c r="H13" s="313" t="s">
        <v>201</v>
      </c>
      <c r="I13" s="324"/>
      <c r="J13" s="324"/>
      <c r="K13" s="324"/>
      <c r="L13" s="324"/>
      <c r="M13" s="324"/>
      <c r="N13" s="324"/>
      <c r="O13" s="324"/>
      <c r="P13" s="324"/>
      <c r="Q13" s="324"/>
      <c r="R13" s="324"/>
      <c r="S13" s="324"/>
      <c r="T13" s="324"/>
      <c r="U13" s="324"/>
      <c r="V13" s="324"/>
      <c r="W13" s="324"/>
      <c r="X13" s="324"/>
      <c r="Y13" s="324"/>
      <c r="Z13" s="361"/>
      <c r="AA13" s="325"/>
      <c r="AB13" s="325"/>
      <c r="AC13" s="325"/>
      <c r="AD13" s="325"/>
      <c r="AE13" s="325"/>
      <c r="AF13" s="362"/>
    </row>
    <row r="14" spans="1:32" s="302" customFormat="1" ht="19.350000000000001" customHeight="1" thickBot="1">
      <c r="A14" s="315"/>
      <c r="B14" s="360"/>
      <c r="C14" s="363" t="s">
        <v>220</v>
      </c>
      <c r="D14" s="364"/>
      <c r="E14" s="364"/>
      <c r="F14" s="364"/>
      <c r="G14" s="365"/>
      <c r="H14" s="313" t="s">
        <v>201</v>
      </c>
      <c r="I14" s="324"/>
      <c r="J14" s="324"/>
      <c r="K14" s="324"/>
      <c r="L14" s="324"/>
      <c r="M14" s="324"/>
      <c r="N14" s="324"/>
      <c r="O14" s="324"/>
      <c r="P14" s="324"/>
      <c r="Q14" s="324"/>
      <c r="R14" s="324"/>
      <c r="S14" s="324"/>
      <c r="T14" s="324"/>
      <c r="U14" s="324"/>
      <c r="V14" s="324"/>
      <c r="W14" s="324"/>
      <c r="X14" s="324"/>
      <c r="Y14" s="324"/>
      <c r="Z14" s="361"/>
      <c r="AA14" s="325"/>
      <c r="AB14" s="325"/>
      <c r="AC14" s="325"/>
      <c r="AD14" s="325"/>
      <c r="AE14" s="325"/>
      <c r="AF14" s="362"/>
    </row>
    <row r="15" spans="1:32" s="302" customFormat="1" ht="19.350000000000001" customHeight="1" thickBot="1">
      <c r="A15" s="315"/>
      <c r="B15" s="360"/>
      <c r="C15" s="363" t="s">
        <v>221</v>
      </c>
      <c r="D15" s="364"/>
      <c r="E15" s="364"/>
      <c r="F15" s="364"/>
      <c r="G15" s="365"/>
      <c r="H15" s="313" t="s">
        <v>201</v>
      </c>
      <c r="I15" s="324"/>
      <c r="J15" s="324"/>
      <c r="K15" s="324"/>
      <c r="L15" s="324"/>
      <c r="M15" s="324"/>
      <c r="N15" s="324"/>
      <c r="O15" s="324"/>
      <c r="P15" s="324"/>
      <c r="Q15" s="324"/>
      <c r="R15" s="324"/>
      <c r="S15" s="324"/>
      <c r="T15" s="324"/>
      <c r="U15" s="324"/>
      <c r="V15" s="324"/>
      <c r="W15" s="324"/>
      <c r="X15" s="324"/>
      <c r="Y15" s="324"/>
      <c r="Z15" s="361"/>
      <c r="AA15" s="325"/>
      <c r="AB15" s="325"/>
      <c r="AC15" s="325"/>
      <c r="AD15" s="325"/>
      <c r="AE15" s="325"/>
      <c r="AF15" s="362"/>
    </row>
    <row r="16" spans="1:32" s="302" customFormat="1" ht="19.350000000000001" customHeight="1" thickBot="1">
      <c r="A16" s="315"/>
      <c r="B16" s="360"/>
      <c r="C16" s="363" t="s">
        <v>222</v>
      </c>
      <c r="D16" s="364"/>
      <c r="E16" s="364"/>
      <c r="F16" s="364"/>
      <c r="G16" s="365"/>
      <c r="H16" s="313" t="s">
        <v>201</v>
      </c>
      <c r="I16" s="324"/>
      <c r="J16" s="324"/>
      <c r="K16" s="324"/>
      <c r="L16" s="324"/>
      <c r="M16" s="324"/>
      <c r="N16" s="324"/>
      <c r="O16" s="324"/>
      <c r="P16" s="324"/>
      <c r="Q16" s="324"/>
      <c r="R16" s="324"/>
      <c r="S16" s="324"/>
      <c r="T16" s="324"/>
      <c r="U16" s="324"/>
      <c r="V16" s="324"/>
      <c r="W16" s="324"/>
      <c r="X16" s="324"/>
      <c r="Y16" s="324"/>
      <c r="Z16" s="361"/>
      <c r="AA16" s="325"/>
      <c r="AB16" s="325"/>
      <c r="AC16" s="325"/>
      <c r="AD16" s="325"/>
      <c r="AE16" s="325"/>
      <c r="AF16" s="362"/>
    </row>
    <row r="17" spans="1:32" s="302" customFormat="1" ht="19.350000000000001" customHeight="1" thickBot="1">
      <c r="A17" s="315"/>
      <c r="B17" s="360"/>
      <c r="C17" s="363" t="s">
        <v>224</v>
      </c>
      <c r="D17" s="364"/>
      <c r="E17" s="364"/>
      <c r="F17" s="364"/>
      <c r="G17" s="365"/>
      <c r="H17" s="313" t="s">
        <v>201</v>
      </c>
      <c r="I17" s="324"/>
      <c r="J17" s="324"/>
      <c r="K17" s="324"/>
      <c r="L17" s="324"/>
      <c r="M17" s="324"/>
      <c r="N17" s="324"/>
      <c r="O17" s="324"/>
      <c r="P17" s="324"/>
      <c r="Q17" s="324"/>
      <c r="R17" s="324"/>
      <c r="S17" s="324"/>
      <c r="T17" s="324"/>
      <c r="U17" s="324"/>
      <c r="V17" s="324"/>
      <c r="W17" s="324"/>
      <c r="X17" s="324"/>
      <c r="Y17" s="324"/>
      <c r="Z17" s="361"/>
      <c r="AA17" s="325"/>
      <c r="AB17" s="325"/>
      <c r="AC17" s="325"/>
      <c r="AD17" s="325"/>
      <c r="AE17" s="325"/>
      <c r="AF17" s="362"/>
    </row>
    <row r="18" spans="1:32" s="302" customFormat="1" ht="19.350000000000001" customHeight="1" thickBot="1">
      <c r="A18" s="315"/>
      <c r="B18" s="360"/>
      <c r="C18" s="363" t="s">
        <v>226</v>
      </c>
      <c r="D18" s="364"/>
      <c r="E18" s="364"/>
      <c r="F18" s="364"/>
      <c r="G18" s="365"/>
      <c r="H18" s="313" t="s">
        <v>201</v>
      </c>
      <c r="I18" s="324"/>
      <c r="J18" s="324"/>
      <c r="K18" s="324"/>
      <c r="L18" s="324"/>
      <c r="M18" s="324"/>
      <c r="N18" s="324"/>
      <c r="O18" s="324"/>
      <c r="P18" s="324"/>
      <c r="Q18" s="324"/>
      <c r="R18" s="324"/>
      <c r="S18" s="324"/>
      <c r="T18" s="324"/>
      <c r="U18" s="324"/>
      <c r="V18" s="324"/>
      <c r="W18" s="324"/>
      <c r="X18" s="324"/>
      <c r="Y18" s="324"/>
      <c r="Z18" s="361"/>
      <c r="AA18" s="325"/>
      <c r="AB18" s="325"/>
      <c r="AC18" s="325"/>
      <c r="AD18" s="325"/>
      <c r="AE18" s="325"/>
      <c r="AF18" s="362"/>
    </row>
    <row r="19" spans="1:32" s="302" customFormat="1" ht="19.350000000000001" customHeight="1" thickBot="1">
      <c r="A19" s="315"/>
      <c r="B19" s="360"/>
      <c r="C19" s="363" t="s">
        <v>229</v>
      </c>
      <c r="D19" s="364"/>
      <c r="E19" s="364"/>
      <c r="F19" s="364"/>
      <c r="G19" s="365"/>
      <c r="H19" s="313" t="s">
        <v>201</v>
      </c>
      <c r="I19" s="324"/>
      <c r="J19" s="324"/>
      <c r="K19" s="324"/>
      <c r="L19" s="324"/>
      <c r="M19" s="324"/>
      <c r="N19" s="324"/>
      <c r="O19" s="324"/>
      <c r="P19" s="324"/>
      <c r="Q19" s="324"/>
      <c r="R19" s="324"/>
      <c r="S19" s="324"/>
      <c r="T19" s="324"/>
      <c r="U19" s="324"/>
      <c r="V19" s="324"/>
      <c r="W19" s="324"/>
      <c r="X19" s="324"/>
      <c r="Y19" s="324"/>
      <c r="Z19" s="361"/>
      <c r="AA19" s="325"/>
      <c r="AB19" s="325"/>
      <c r="AC19" s="325"/>
      <c r="AD19" s="325"/>
      <c r="AE19" s="325"/>
      <c r="AF19" s="362"/>
    </row>
    <row r="20" spans="1:32" s="302" customFormat="1" ht="19.350000000000001" customHeight="1" thickBot="1">
      <c r="A20" s="315"/>
      <c r="B20" s="363" t="s">
        <v>230</v>
      </c>
      <c r="C20" s="364"/>
      <c r="D20" s="364"/>
      <c r="E20" s="364"/>
      <c r="F20" s="364"/>
      <c r="G20" s="365"/>
      <c r="H20" s="366"/>
      <c r="I20" s="324"/>
      <c r="J20" s="324"/>
      <c r="K20" s="324"/>
      <c r="L20" s="324"/>
      <c r="M20" s="324"/>
      <c r="N20" s="324"/>
      <c r="O20" s="324"/>
      <c r="P20" s="324"/>
      <c r="Q20" s="324"/>
      <c r="R20" s="324"/>
      <c r="S20" s="324"/>
      <c r="T20" s="324"/>
      <c r="U20" s="324"/>
      <c r="V20" s="324"/>
      <c r="W20" s="324"/>
      <c r="X20" s="324"/>
      <c r="Y20" s="324"/>
      <c r="Z20" s="361"/>
      <c r="AA20" s="325"/>
      <c r="AB20" s="325"/>
      <c r="AC20" s="325"/>
      <c r="AD20" s="325"/>
      <c r="AE20" s="325"/>
      <c r="AF20" s="362"/>
    </row>
    <row r="21" spans="1:32" s="302" customFormat="1" ht="20.100000000000001" customHeight="1" thickBot="1">
      <c r="A21" s="315"/>
      <c r="B21" s="321"/>
      <c r="C21" s="322" t="s">
        <v>205</v>
      </c>
      <c r="D21" s="322"/>
      <c r="E21" s="322"/>
      <c r="F21" s="322"/>
      <c r="G21" s="323"/>
      <c r="I21" s="313" t="s">
        <v>201</v>
      </c>
      <c r="J21" s="324"/>
      <c r="K21" s="324"/>
      <c r="L21" s="324"/>
      <c r="M21" s="324"/>
      <c r="N21" s="324"/>
      <c r="O21" s="324"/>
      <c r="P21" s="324"/>
      <c r="Q21" s="324"/>
      <c r="R21" s="324"/>
      <c r="S21" s="324"/>
      <c r="T21" s="324"/>
      <c r="U21" s="324"/>
      <c r="V21" s="324"/>
      <c r="W21" s="324"/>
      <c r="X21" s="324"/>
      <c r="Y21" s="324"/>
      <c r="Z21" s="306"/>
      <c r="AA21" s="307"/>
      <c r="AB21" s="307"/>
      <c r="AC21" s="307"/>
      <c r="AD21" s="307"/>
      <c r="AE21" s="307"/>
      <c r="AF21" s="314"/>
    </row>
    <row r="22" spans="1:32" s="302" customFormat="1" ht="20.100000000000001" customHeight="1" thickBot="1">
      <c r="A22" s="303" t="s">
        <v>94</v>
      </c>
      <c r="B22" s="326"/>
      <c r="C22" s="326"/>
      <c r="D22" s="326"/>
      <c r="E22" s="326"/>
      <c r="F22" s="326"/>
      <c r="G22" s="327" t="s">
        <v>95</v>
      </c>
      <c r="H22" s="328" t="s">
        <v>52</v>
      </c>
      <c r="I22" s="328" t="s">
        <v>52</v>
      </c>
      <c r="J22" s="329"/>
      <c r="K22" s="329"/>
      <c r="L22" s="329"/>
      <c r="M22" s="329"/>
      <c r="N22" s="329"/>
      <c r="O22" s="329"/>
      <c r="P22" s="329"/>
      <c r="Q22" s="329"/>
      <c r="R22" s="329"/>
      <c r="S22" s="329"/>
      <c r="T22" s="329"/>
      <c r="U22" s="329"/>
      <c r="V22" s="329"/>
      <c r="W22" s="329"/>
      <c r="X22" s="329"/>
      <c r="Y22" s="329"/>
      <c r="Z22" s="329"/>
      <c r="AA22" s="329"/>
      <c r="AB22" s="329"/>
      <c r="AC22" s="329"/>
      <c r="AD22" s="329"/>
      <c r="AE22" s="329"/>
      <c r="AF22" s="330"/>
    </row>
    <row r="23" spans="1:32" s="302" customFormat="1" ht="18" thickBot="1">
      <c r="A23" s="303"/>
      <c r="B23" s="331"/>
      <c r="C23" s="331"/>
      <c r="D23" s="331"/>
      <c r="E23" s="331"/>
      <c r="F23" s="331"/>
      <c r="G23" s="332" t="s">
        <v>96</v>
      </c>
      <c r="H23" s="333" t="s">
        <v>202</v>
      </c>
      <c r="I23" s="333" t="s">
        <v>202</v>
      </c>
      <c r="J23" s="334"/>
      <c r="K23" s="334"/>
      <c r="L23" s="334"/>
      <c r="M23" s="334"/>
      <c r="N23" s="334"/>
      <c r="O23" s="334"/>
      <c r="P23" s="334"/>
      <c r="Q23" s="334"/>
      <c r="R23" s="334"/>
      <c r="S23" s="334"/>
      <c r="T23" s="334"/>
      <c r="U23" s="334"/>
      <c r="V23" s="334"/>
      <c r="W23" s="334"/>
      <c r="X23" s="334"/>
      <c r="Y23" s="334"/>
      <c r="Z23" s="334"/>
      <c r="AA23" s="334"/>
      <c r="AB23" s="334"/>
      <c r="AC23" s="334"/>
      <c r="AD23" s="334"/>
      <c r="AE23" s="334"/>
      <c r="AF23" s="335"/>
    </row>
    <row r="24" spans="1:32" s="302" customFormat="1" ht="18" thickBot="1">
      <c r="A24" s="303"/>
      <c r="B24" s="331"/>
      <c r="C24" s="331"/>
      <c r="D24" s="331"/>
      <c r="E24" s="331"/>
      <c r="F24" s="331"/>
      <c r="G24" s="332" t="s">
        <v>97</v>
      </c>
      <c r="H24" s="336">
        <v>43703</v>
      </c>
      <c r="I24" s="336">
        <v>43703</v>
      </c>
      <c r="J24" s="337"/>
      <c r="K24" s="337"/>
      <c r="L24" s="337"/>
      <c r="M24" s="337"/>
      <c r="N24" s="337"/>
      <c r="O24" s="337"/>
      <c r="P24" s="337"/>
      <c r="Q24" s="337"/>
      <c r="R24" s="337"/>
      <c r="S24" s="337"/>
      <c r="T24" s="337"/>
      <c r="U24" s="337"/>
      <c r="V24" s="337"/>
      <c r="W24" s="337"/>
      <c r="X24" s="337"/>
      <c r="Y24" s="337"/>
      <c r="Z24" s="337"/>
      <c r="AA24" s="337"/>
      <c r="AB24" s="337"/>
      <c r="AC24" s="337"/>
      <c r="AD24" s="337"/>
      <c r="AE24" s="337"/>
      <c r="AF24" s="338"/>
    </row>
    <row r="25" spans="1:32" s="302" customFormat="1">
      <c r="A25" s="303"/>
      <c r="B25" s="331"/>
      <c r="C25" s="331"/>
      <c r="D25" s="331"/>
      <c r="E25" s="331"/>
      <c r="F25" s="331"/>
      <c r="G25" s="339" t="s">
        <v>98</v>
      </c>
      <c r="H25" s="333" t="s">
        <v>157</v>
      </c>
      <c r="I25" s="333" t="s">
        <v>157</v>
      </c>
      <c r="J25" s="334"/>
      <c r="K25" s="334"/>
      <c r="L25" s="334"/>
      <c r="M25" s="334"/>
      <c r="N25" s="334"/>
      <c r="O25" s="334"/>
      <c r="P25" s="334"/>
      <c r="Q25" s="334"/>
      <c r="R25" s="334"/>
      <c r="S25" s="334"/>
      <c r="T25" s="334"/>
      <c r="U25" s="334"/>
      <c r="V25" s="334"/>
      <c r="W25" s="334"/>
      <c r="X25" s="334"/>
      <c r="Y25" s="334"/>
      <c r="Z25" s="334"/>
      <c r="AA25" s="334"/>
      <c r="AB25" s="334"/>
      <c r="AC25" s="334"/>
      <c r="AD25" s="334"/>
      <c r="AE25" s="334"/>
      <c r="AF25" s="335"/>
    </row>
    <row r="26" spans="1:32" s="302" customFormat="1" ht="20.100000000000001" customHeight="1" thickBot="1">
      <c r="A26" s="340" t="s">
        <v>99</v>
      </c>
      <c r="B26" s="341" t="s">
        <v>100</v>
      </c>
      <c r="C26" s="341"/>
      <c r="D26" s="341"/>
      <c r="E26" s="341"/>
      <c r="F26" s="342" t="e">
        <f ca="1">GetBugSheetName()</f>
        <v>#NAME?</v>
      </c>
      <c r="G26" s="343"/>
      <c r="H26" s="344"/>
      <c r="I26" s="345"/>
      <c r="J26" s="345"/>
      <c r="K26" s="345"/>
      <c r="L26" s="345"/>
      <c r="M26" s="345"/>
      <c r="N26" s="345"/>
      <c r="O26" s="345"/>
      <c r="P26" s="345"/>
      <c r="Q26" s="345"/>
      <c r="R26" s="345"/>
      <c r="S26" s="345"/>
      <c r="T26" s="345"/>
      <c r="U26" s="345"/>
      <c r="V26" s="345"/>
      <c r="W26" s="345"/>
      <c r="X26" s="345"/>
      <c r="Y26" s="345"/>
      <c r="Z26" s="345"/>
      <c r="AA26" s="345"/>
      <c r="AB26" s="345"/>
      <c r="AC26" s="345"/>
      <c r="AD26" s="345"/>
      <c r="AE26" s="345"/>
      <c r="AF26" s="346"/>
    </row>
    <row r="27" spans="1:32" s="302" customFormat="1" ht="36.950000000000003" customHeight="1" thickBot="1">
      <c r="A27" s="347"/>
      <c r="B27" s="348" t="s">
        <v>101</v>
      </c>
      <c r="C27" s="348"/>
      <c r="D27" s="348"/>
      <c r="E27" s="348"/>
      <c r="F27" s="349"/>
      <c r="G27" s="350"/>
      <c r="H27" s="351"/>
      <c r="I27" s="352"/>
      <c r="J27" s="352"/>
      <c r="K27" s="352"/>
      <c r="L27" s="352"/>
      <c r="M27" s="352"/>
      <c r="N27" s="352"/>
      <c r="O27" s="352"/>
      <c r="P27" s="352"/>
      <c r="Q27" s="352"/>
      <c r="R27" s="352"/>
      <c r="S27" s="352" t="str">
        <f t="shared" ref="S27:AF27" si="0">IF(S26="","",(SUM(LEN(S26)-LEN(SUBSTITUTE(S26,",","")))/LEN(","))+1)</f>
        <v/>
      </c>
      <c r="T27" s="352" t="str">
        <f t="shared" si="0"/>
        <v/>
      </c>
      <c r="U27" s="352" t="str">
        <f t="shared" si="0"/>
        <v/>
      </c>
      <c r="V27" s="352" t="str">
        <f t="shared" si="0"/>
        <v/>
      </c>
      <c r="W27" s="352" t="str">
        <f t="shared" si="0"/>
        <v/>
      </c>
      <c r="X27" s="352" t="str">
        <f t="shared" si="0"/>
        <v/>
      </c>
      <c r="Y27" s="352" t="str">
        <f t="shared" si="0"/>
        <v/>
      </c>
      <c r="Z27" s="352" t="str">
        <f t="shared" si="0"/>
        <v/>
      </c>
      <c r="AA27" s="352" t="str">
        <f t="shared" si="0"/>
        <v/>
      </c>
      <c r="AB27" s="352" t="str">
        <f t="shared" si="0"/>
        <v/>
      </c>
      <c r="AC27" s="352" t="str">
        <f t="shared" si="0"/>
        <v/>
      </c>
      <c r="AD27" s="352" t="str">
        <f t="shared" si="0"/>
        <v/>
      </c>
      <c r="AE27" s="352" t="str">
        <f t="shared" si="0"/>
        <v/>
      </c>
      <c r="AF27" s="353" t="str">
        <f t="shared" si="0"/>
        <v/>
      </c>
    </row>
    <row r="28" spans="1:32" s="302" customFormat="1">
      <c r="H28" s="354"/>
      <c r="I28" s="354"/>
      <c r="J28" s="354"/>
      <c r="K28" s="354"/>
      <c r="L28" s="354"/>
      <c r="M28" s="354"/>
      <c r="N28" s="355"/>
      <c r="O28" s="356"/>
      <c r="P28" s="354"/>
      <c r="Q28" s="354"/>
      <c r="R28" s="354"/>
      <c r="S28" s="354"/>
      <c r="T28" s="354"/>
      <c r="U28" s="354"/>
      <c r="V28" s="354"/>
    </row>
  </sheetData>
  <sheetProtection selectLockedCells="1" selectUnlockedCells="1"/>
  <mergeCells count="42">
    <mergeCell ref="B20:G20"/>
    <mergeCell ref="C14:G14"/>
    <mergeCell ref="C15:G15"/>
    <mergeCell ref="C16:G16"/>
    <mergeCell ref="C17:G17"/>
    <mergeCell ref="C18:G18"/>
    <mergeCell ref="C19:G19"/>
    <mergeCell ref="C8:G8"/>
    <mergeCell ref="C9:G9"/>
    <mergeCell ref="C10:G10"/>
    <mergeCell ref="C11:G11"/>
    <mergeCell ref="C12:G12"/>
    <mergeCell ref="C13:G13"/>
    <mergeCell ref="A22:A25"/>
    <mergeCell ref="B22:F22"/>
    <mergeCell ref="B23:F23"/>
    <mergeCell ref="B24:F24"/>
    <mergeCell ref="B25:F25"/>
    <mergeCell ref="A26:A27"/>
    <mergeCell ref="B26:E26"/>
    <mergeCell ref="F26:G26"/>
    <mergeCell ref="B27:E27"/>
    <mergeCell ref="F27:G27"/>
    <mergeCell ref="A4:A6"/>
    <mergeCell ref="B4:G4"/>
    <mergeCell ref="B5:G5"/>
    <mergeCell ref="C6:G6"/>
    <mergeCell ref="A7:A21"/>
    <mergeCell ref="B7:G7"/>
    <mergeCell ref="C21:G21"/>
    <mergeCell ref="B2:E2"/>
    <mergeCell ref="F2:H2"/>
    <mergeCell ref="I2:N2"/>
    <mergeCell ref="P2:Z2"/>
    <mergeCell ref="AA2:AB2"/>
    <mergeCell ref="AC2:AF2"/>
    <mergeCell ref="B1:E1"/>
    <mergeCell ref="F1:O1"/>
    <mergeCell ref="P1:S1"/>
    <mergeCell ref="T1:Z1"/>
    <mergeCell ref="AA1:AB1"/>
    <mergeCell ref="AC1:AF1"/>
  </mergeCells>
  <phoneticPr fontId="3"/>
  <conditionalFormatting sqref="H23:AF27 W22:AF22 H22 U4:AF6 I22:I25 J6:T6 J20:AF21 I8:Y20 I7:AF19 J4:T4">
    <cfRule type="expression" dxfId="11" priority="9" stopIfTrue="1">
      <formula>#REF!="NA"</formula>
    </cfRule>
    <cfRule type="expression" dxfId="10" priority="10" stopIfTrue="1">
      <formula>#REF!="NG"</formula>
    </cfRule>
  </conditionalFormatting>
  <conditionalFormatting sqref="H3:AF3">
    <cfRule type="expression" dxfId="19" priority="5" stopIfTrue="1">
      <formula>NA()</formula>
    </cfRule>
    <cfRule type="expression" dxfId="18" priority="6" stopIfTrue="1">
      <formula>NA()</formula>
    </cfRule>
  </conditionalFormatting>
  <conditionalFormatting sqref="H22:H25">
    <cfRule type="expression" dxfId="17" priority="3" stopIfTrue="1">
      <formula>#REF!="NA"</formula>
    </cfRule>
    <cfRule type="expression" dxfId="16" priority="4" stopIfTrue="1">
      <formula>#REF!="NG"</formula>
    </cfRule>
  </conditionalFormatting>
  <conditionalFormatting sqref="I22:I25">
    <cfRule type="expression" dxfId="5" priority="1" stopIfTrue="1">
      <formula>#REF!="NA"</formula>
    </cfRule>
    <cfRule type="expression" dxfId="4" priority="2" stopIfTrue="1">
      <formula>#REF!="NG"</formula>
    </cfRule>
  </conditionalFormatting>
  <dataValidations count="10">
    <dataValidation operator="equal" allowBlank="1" showInputMessage="1" showErrorMessage="1" promptTitle="Check points" prompt="that need / need not be executed" sqref="A65534:A65557 WVI983038:WVI983061 WLM983038:WLM983061 WBQ983038:WBQ983061 VRU983038:VRU983061 VHY983038:VHY983061 UYC983038:UYC983061 UOG983038:UOG983061 UEK983038:UEK983061 TUO983038:TUO983061 TKS983038:TKS983061 TAW983038:TAW983061 SRA983038:SRA983061 SHE983038:SHE983061 RXI983038:RXI983061 RNM983038:RNM983061 RDQ983038:RDQ983061 QTU983038:QTU983061 QJY983038:QJY983061 QAC983038:QAC983061 PQG983038:PQG983061 PGK983038:PGK983061 OWO983038:OWO983061 OMS983038:OMS983061 OCW983038:OCW983061 NTA983038:NTA983061 NJE983038:NJE983061 MZI983038:MZI983061 MPM983038:MPM983061 MFQ983038:MFQ983061 LVU983038:LVU983061 LLY983038:LLY983061 LCC983038:LCC983061 KSG983038:KSG983061 KIK983038:KIK983061 JYO983038:JYO983061 JOS983038:JOS983061 JEW983038:JEW983061 IVA983038:IVA983061 ILE983038:ILE983061 IBI983038:IBI983061 HRM983038:HRM983061 HHQ983038:HHQ983061 GXU983038:GXU983061 GNY983038:GNY983061 GEC983038:GEC983061 FUG983038:FUG983061 FKK983038:FKK983061 FAO983038:FAO983061 EQS983038:EQS983061 EGW983038:EGW983061 DXA983038:DXA983061 DNE983038:DNE983061 DDI983038:DDI983061 CTM983038:CTM983061 CJQ983038:CJQ983061 BZU983038:BZU983061 BPY983038:BPY983061 BGC983038:BGC983061 AWG983038:AWG983061 AMK983038:AMK983061 ACO983038:ACO983061 SS983038:SS983061 IW983038:IW983061 A983038:A983061 WVI917502:WVI917525 WLM917502:WLM917525 WBQ917502:WBQ917525 VRU917502:VRU917525 VHY917502:VHY917525 UYC917502:UYC917525 UOG917502:UOG917525 UEK917502:UEK917525 TUO917502:TUO917525 TKS917502:TKS917525 TAW917502:TAW917525 SRA917502:SRA917525 SHE917502:SHE917525 RXI917502:RXI917525 RNM917502:RNM917525 RDQ917502:RDQ917525 QTU917502:QTU917525 QJY917502:QJY917525 QAC917502:QAC917525 PQG917502:PQG917525 PGK917502:PGK917525 OWO917502:OWO917525 OMS917502:OMS917525 OCW917502:OCW917525 NTA917502:NTA917525 NJE917502:NJE917525 MZI917502:MZI917525 MPM917502:MPM917525 MFQ917502:MFQ917525 LVU917502:LVU917525 LLY917502:LLY917525 LCC917502:LCC917525 KSG917502:KSG917525 KIK917502:KIK917525 JYO917502:JYO917525 JOS917502:JOS917525 JEW917502:JEW917525 IVA917502:IVA917525 ILE917502:ILE917525 IBI917502:IBI917525 HRM917502:HRM917525 HHQ917502:HHQ917525 GXU917502:GXU917525 GNY917502:GNY917525 GEC917502:GEC917525 FUG917502:FUG917525 FKK917502:FKK917525 FAO917502:FAO917525 EQS917502:EQS917525 EGW917502:EGW917525 DXA917502:DXA917525 DNE917502:DNE917525 DDI917502:DDI917525 CTM917502:CTM917525 CJQ917502:CJQ917525 BZU917502:BZU917525 BPY917502:BPY917525 BGC917502:BGC917525 AWG917502:AWG917525 AMK917502:AMK917525 ACO917502:ACO917525 SS917502:SS917525 IW917502:IW917525 A917502:A917525 WVI851966:WVI851989 WLM851966:WLM851989 WBQ851966:WBQ851989 VRU851966:VRU851989 VHY851966:VHY851989 UYC851966:UYC851989 UOG851966:UOG851989 UEK851966:UEK851989 TUO851966:TUO851989 TKS851966:TKS851989 TAW851966:TAW851989 SRA851966:SRA851989 SHE851966:SHE851989 RXI851966:RXI851989 RNM851966:RNM851989 RDQ851966:RDQ851989 QTU851966:QTU851989 QJY851966:QJY851989 QAC851966:QAC851989 PQG851966:PQG851989 PGK851966:PGK851989 OWO851966:OWO851989 OMS851966:OMS851989 OCW851966:OCW851989 NTA851966:NTA851989 NJE851966:NJE851989 MZI851966:MZI851989 MPM851966:MPM851989 MFQ851966:MFQ851989 LVU851966:LVU851989 LLY851966:LLY851989 LCC851966:LCC851989 KSG851966:KSG851989 KIK851966:KIK851989 JYO851966:JYO851989 JOS851966:JOS851989 JEW851966:JEW851989 IVA851966:IVA851989 ILE851966:ILE851989 IBI851966:IBI851989 HRM851966:HRM851989 HHQ851966:HHQ851989 GXU851966:GXU851989 GNY851966:GNY851989 GEC851966:GEC851989 FUG851966:FUG851989 FKK851966:FKK851989 FAO851966:FAO851989 EQS851966:EQS851989 EGW851966:EGW851989 DXA851966:DXA851989 DNE851966:DNE851989 DDI851966:DDI851989 CTM851966:CTM851989 CJQ851966:CJQ851989 BZU851966:BZU851989 BPY851966:BPY851989 BGC851966:BGC851989 AWG851966:AWG851989 AMK851966:AMK851989 ACO851966:ACO851989 SS851966:SS851989 IW851966:IW851989 A851966:A851989 WVI786430:WVI786453 WLM786430:WLM786453 WBQ786430:WBQ786453 VRU786430:VRU786453 VHY786430:VHY786453 UYC786430:UYC786453 UOG786430:UOG786453 UEK786430:UEK786453 TUO786430:TUO786453 TKS786430:TKS786453 TAW786430:TAW786453 SRA786430:SRA786453 SHE786430:SHE786453 RXI786430:RXI786453 RNM786430:RNM786453 RDQ786430:RDQ786453 QTU786430:QTU786453 QJY786430:QJY786453 QAC786430:QAC786453 PQG786430:PQG786453 PGK786430:PGK786453 OWO786430:OWO786453 OMS786430:OMS786453 OCW786430:OCW786453 NTA786430:NTA786453 NJE786430:NJE786453 MZI786430:MZI786453 MPM786430:MPM786453 MFQ786430:MFQ786453 LVU786430:LVU786453 LLY786430:LLY786453 LCC786430:LCC786453 KSG786430:KSG786453 KIK786430:KIK786453 JYO786430:JYO786453 JOS786430:JOS786453 JEW786430:JEW786453 IVA786430:IVA786453 ILE786430:ILE786453 IBI786430:IBI786453 HRM786430:HRM786453 HHQ786430:HHQ786453 GXU786430:GXU786453 GNY786430:GNY786453 GEC786430:GEC786453 FUG786430:FUG786453 FKK786430:FKK786453 FAO786430:FAO786453 EQS786430:EQS786453 EGW786430:EGW786453 DXA786430:DXA786453 DNE786430:DNE786453 DDI786430:DDI786453 CTM786430:CTM786453 CJQ786430:CJQ786453 BZU786430:BZU786453 BPY786430:BPY786453 BGC786430:BGC786453 AWG786430:AWG786453 AMK786430:AMK786453 ACO786430:ACO786453 SS786430:SS786453 IW786430:IW786453 A786430:A786453 WVI720894:WVI720917 WLM720894:WLM720917 WBQ720894:WBQ720917 VRU720894:VRU720917 VHY720894:VHY720917 UYC720894:UYC720917 UOG720894:UOG720917 UEK720894:UEK720917 TUO720894:TUO720917 TKS720894:TKS720917 TAW720894:TAW720917 SRA720894:SRA720917 SHE720894:SHE720917 RXI720894:RXI720917 RNM720894:RNM720917 RDQ720894:RDQ720917 QTU720894:QTU720917 QJY720894:QJY720917 QAC720894:QAC720917 PQG720894:PQG720917 PGK720894:PGK720917 OWO720894:OWO720917 OMS720894:OMS720917 OCW720894:OCW720917 NTA720894:NTA720917 NJE720894:NJE720917 MZI720894:MZI720917 MPM720894:MPM720917 MFQ720894:MFQ720917 LVU720894:LVU720917 LLY720894:LLY720917 LCC720894:LCC720917 KSG720894:KSG720917 KIK720894:KIK720917 JYO720894:JYO720917 JOS720894:JOS720917 JEW720894:JEW720917 IVA720894:IVA720917 ILE720894:ILE720917 IBI720894:IBI720917 HRM720894:HRM720917 HHQ720894:HHQ720917 GXU720894:GXU720917 GNY720894:GNY720917 GEC720894:GEC720917 FUG720894:FUG720917 FKK720894:FKK720917 FAO720894:FAO720917 EQS720894:EQS720917 EGW720894:EGW720917 DXA720894:DXA720917 DNE720894:DNE720917 DDI720894:DDI720917 CTM720894:CTM720917 CJQ720894:CJQ720917 BZU720894:BZU720917 BPY720894:BPY720917 BGC720894:BGC720917 AWG720894:AWG720917 AMK720894:AMK720917 ACO720894:ACO720917 SS720894:SS720917 IW720894:IW720917 A720894:A720917 WVI655358:WVI655381 WLM655358:WLM655381 WBQ655358:WBQ655381 VRU655358:VRU655381 VHY655358:VHY655381 UYC655358:UYC655381 UOG655358:UOG655381 UEK655358:UEK655381 TUO655358:TUO655381 TKS655358:TKS655381 TAW655358:TAW655381 SRA655358:SRA655381 SHE655358:SHE655381 RXI655358:RXI655381 RNM655358:RNM655381 RDQ655358:RDQ655381 QTU655358:QTU655381 QJY655358:QJY655381 QAC655358:QAC655381 PQG655358:PQG655381 PGK655358:PGK655381 OWO655358:OWO655381 OMS655358:OMS655381 OCW655358:OCW655381 NTA655358:NTA655381 NJE655358:NJE655381 MZI655358:MZI655381 MPM655358:MPM655381 MFQ655358:MFQ655381 LVU655358:LVU655381 LLY655358:LLY655381 LCC655358:LCC655381 KSG655358:KSG655381 KIK655358:KIK655381 JYO655358:JYO655381 JOS655358:JOS655381 JEW655358:JEW655381 IVA655358:IVA655381 ILE655358:ILE655381 IBI655358:IBI655381 HRM655358:HRM655381 HHQ655358:HHQ655381 GXU655358:GXU655381 GNY655358:GNY655381 GEC655358:GEC655381 FUG655358:FUG655381 FKK655358:FKK655381 FAO655358:FAO655381 EQS655358:EQS655381 EGW655358:EGW655381 DXA655358:DXA655381 DNE655358:DNE655381 DDI655358:DDI655381 CTM655358:CTM655381 CJQ655358:CJQ655381 BZU655358:BZU655381 BPY655358:BPY655381 BGC655358:BGC655381 AWG655358:AWG655381 AMK655358:AMK655381 ACO655358:ACO655381 SS655358:SS655381 IW655358:IW655381 A655358:A655381 WVI589822:WVI589845 WLM589822:WLM589845 WBQ589822:WBQ589845 VRU589822:VRU589845 VHY589822:VHY589845 UYC589822:UYC589845 UOG589822:UOG589845 UEK589822:UEK589845 TUO589822:TUO589845 TKS589822:TKS589845 TAW589822:TAW589845 SRA589822:SRA589845 SHE589822:SHE589845 RXI589822:RXI589845 RNM589822:RNM589845 RDQ589822:RDQ589845 QTU589822:QTU589845 QJY589822:QJY589845 QAC589822:QAC589845 PQG589822:PQG589845 PGK589822:PGK589845 OWO589822:OWO589845 OMS589822:OMS589845 OCW589822:OCW589845 NTA589822:NTA589845 NJE589822:NJE589845 MZI589822:MZI589845 MPM589822:MPM589845 MFQ589822:MFQ589845 LVU589822:LVU589845 LLY589822:LLY589845 LCC589822:LCC589845 KSG589822:KSG589845 KIK589822:KIK589845 JYO589822:JYO589845 JOS589822:JOS589845 JEW589822:JEW589845 IVA589822:IVA589845 ILE589822:ILE589845 IBI589822:IBI589845 HRM589822:HRM589845 HHQ589822:HHQ589845 GXU589822:GXU589845 GNY589822:GNY589845 GEC589822:GEC589845 FUG589822:FUG589845 FKK589822:FKK589845 FAO589822:FAO589845 EQS589822:EQS589845 EGW589822:EGW589845 DXA589822:DXA589845 DNE589822:DNE589845 DDI589822:DDI589845 CTM589822:CTM589845 CJQ589822:CJQ589845 BZU589822:BZU589845 BPY589822:BPY589845 BGC589822:BGC589845 AWG589822:AWG589845 AMK589822:AMK589845 ACO589822:ACO589845 SS589822:SS589845 IW589822:IW589845 A589822:A589845 WVI524286:WVI524309 WLM524286:WLM524309 WBQ524286:WBQ524309 VRU524286:VRU524309 VHY524286:VHY524309 UYC524286:UYC524309 UOG524286:UOG524309 UEK524286:UEK524309 TUO524286:TUO524309 TKS524286:TKS524309 TAW524286:TAW524309 SRA524286:SRA524309 SHE524286:SHE524309 RXI524286:RXI524309 RNM524286:RNM524309 RDQ524286:RDQ524309 QTU524286:QTU524309 QJY524286:QJY524309 QAC524286:QAC524309 PQG524286:PQG524309 PGK524286:PGK524309 OWO524286:OWO524309 OMS524286:OMS524309 OCW524286:OCW524309 NTA524286:NTA524309 NJE524286:NJE524309 MZI524286:MZI524309 MPM524286:MPM524309 MFQ524286:MFQ524309 LVU524286:LVU524309 LLY524286:LLY524309 LCC524286:LCC524309 KSG524286:KSG524309 KIK524286:KIK524309 JYO524286:JYO524309 JOS524286:JOS524309 JEW524286:JEW524309 IVA524286:IVA524309 ILE524286:ILE524309 IBI524286:IBI524309 HRM524286:HRM524309 HHQ524286:HHQ524309 GXU524286:GXU524309 GNY524286:GNY524309 GEC524286:GEC524309 FUG524286:FUG524309 FKK524286:FKK524309 FAO524286:FAO524309 EQS524286:EQS524309 EGW524286:EGW524309 DXA524286:DXA524309 DNE524286:DNE524309 DDI524286:DDI524309 CTM524286:CTM524309 CJQ524286:CJQ524309 BZU524286:BZU524309 BPY524286:BPY524309 BGC524286:BGC524309 AWG524286:AWG524309 AMK524286:AMK524309 ACO524286:ACO524309 SS524286:SS524309 IW524286:IW524309 A524286:A524309 WVI458750:WVI458773 WLM458750:WLM458773 WBQ458750:WBQ458773 VRU458750:VRU458773 VHY458750:VHY458773 UYC458750:UYC458773 UOG458750:UOG458773 UEK458750:UEK458773 TUO458750:TUO458773 TKS458750:TKS458773 TAW458750:TAW458773 SRA458750:SRA458773 SHE458750:SHE458773 RXI458750:RXI458773 RNM458750:RNM458773 RDQ458750:RDQ458773 QTU458750:QTU458773 QJY458750:QJY458773 QAC458750:QAC458773 PQG458750:PQG458773 PGK458750:PGK458773 OWO458750:OWO458773 OMS458750:OMS458773 OCW458750:OCW458773 NTA458750:NTA458773 NJE458750:NJE458773 MZI458750:MZI458773 MPM458750:MPM458773 MFQ458750:MFQ458773 LVU458750:LVU458773 LLY458750:LLY458773 LCC458750:LCC458773 KSG458750:KSG458773 KIK458750:KIK458773 JYO458750:JYO458773 JOS458750:JOS458773 JEW458750:JEW458773 IVA458750:IVA458773 ILE458750:ILE458773 IBI458750:IBI458773 HRM458750:HRM458773 HHQ458750:HHQ458773 GXU458750:GXU458773 GNY458750:GNY458773 GEC458750:GEC458773 FUG458750:FUG458773 FKK458750:FKK458773 FAO458750:FAO458773 EQS458750:EQS458773 EGW458750:EGW458773 DXA458750:DXA458773 DNE458750:DNE458773 DDI458750:DDI458773 CTM458750:CTM458773 CJQ458750:CJQ458773 BZU458750:BZU458773 BPY458750:BPY458773 BGC458750:BGC458773 AWG458750:AWG458773 AMK458750:AMK458773 ACO458750:ACO458773 SS458750:SS458773 IW458750:IW458773 A458750:A458773 WVI393214:WVI393237 WLM393214:WLM393237 WBQ393214:WBQ393237 VRU393214:VRU393237 VHY393214:VHY393237 UYC393214:UYC393237 UOG393214:UOG393237 UEK393214:UEK393237 TUO393214:TUO393237 TKS393214:TKS393237 TAW393214:TAW393237 SRA393214:SRA393237 SHE393214:SHE393237 RXI393214:RXI393237 RNM393214:RNM393237 RDQ393214:RDQ393237 QTU393214:QTU393237 QJY393214:QJY393237 QAC393214:QAC393237 PQG393214:PQG393237 PGK393214:PGK393237 OWO393214:OWO393237 OMS393214:OMS393237 OCW393214:OCW393237 NTA393214:NTA393237 NJE393214:NJE393237 MZI393214:MZI393237 MPM393214:MPM393237 MFQ393214:MFQ393237 LVU393214:LVU393237 LLY393214:LLY393237 LCC393214:LCC393237 KSG393214:KSG393237 KIK393214:KIK393237 JYO393214:JYO393237 JOS393214:JOS393237 JEW393214:JEW393237 IVA393214:IVA393237 ILE393214:ILE393237 IBI393214:IBI393237 HRM393214:HRM393237 HHQ393214:HHQ393237 GXU393214:GXU393237 GNY393214:GNY393237 GEC393214:GEC393237 FUG393214:FUG393237 FKK393214:FKK393237 FAO393214:FAO393237 EQS393214:EQS393237 EGW393214:EGW393237 DXA393214:DXA393237 DNE393214:DNE393237 DDI393214:DDI393237 CTM393214:CTM393237 CJQ393214:CJQ393237 BZU393214:BZU393237 BPY393214:BPY393237 BGC393214:BGC393237 AWG393214:AWG393237 AMK393214:AMK393237 ACO393214:ACO393237 SS393214:SS393237 IW393214:IW393237 A393214:A393237 WVI327678:WVI327701 WLM327678:WLM327701 WBQ327678:WBQ327701 VRU327678:VRU327701 VHY327678:VHY327701 UYC327678:UYC327701 UOG327678:UOG327701 UEK327678:UEK327701 TUO327678:TUO327701 TKS327678:TKS327701 TAW327678:TAW327701 SRA327678:SRA327701 SHE327678:SHE327701 RXI327678:RXI327701 RNM327678:RNM327701 RDQ327678:RDQ327701 QTU327678:QTU327701 QJY327678:QJY327701 QAC327678:QAC327701 PQG327678:PQG327701 PGK327678:PGK327701 OWO327678:OWO327701 OMS327678:OMS327701 OCW327678:OCW327701 NTA327678:NTA327701 NJE327678:NJE327701 MZI327678:MZI327701 MPM327678:MPM327701 MFQ327678:MFQ327701 LVU327678:LVU327701 LLY327678:LLY327701 LCC327678:LCC327701 KSG327678:KSG327701 KIK327678:KIK327701 JYO327678:JYO327701 JOS327678:JOS327701 JEW327678:JEW327701 IVA327678:IVA327701 ILE327678:ILE327701 IBI327678:IBI327701 HRM327678:HRM327701 HHQ327678:HHQ327701 GXU327678:GXU327701 GNY327678:GNY327701 GEC327678:GEC327701 FUG327678:FUG327701 FKK327678:FKK327701 FAO327678:FAO327701 EQS327678:EQS327701 EGW327678:EGW327701 DXA327678:DXA327701 DNE327678:DNE327701 DDI327678:DDI327701 CTM327678:CTM327701 CJQ327678:CJQ327701 BZU327678:BZU327701 BPY327678:BPY327701 BGC327678:BGC327701 AWG327678:AWG327701 AMK327678:AMK327701 ACO327678:ACO327701 SS327678:SS327701 IW327678:IW327701 A327678:A327701 WVI262142:WVI262165 WLM262142:WLM262165 WBQ262142:WBQ262165 VRU262142:VRU262165 VHY262142:VHY262165 UYC262142:UYC262165 UOG262142:UOG262165 UEK262142:UEK262165 TUO262142:TUO262165 TKS262142:TKS262165 TAW262142:TAW262165 SRA262142:SRA262165 SHE262142:SHE262165 RXI262142:RXI262165 RNM262142:RNM262165 RDQ262142:RDQ262165 QTU262142:QTU262165 QJY262142:QJY262165 QAC262142:QAC262165 PQG262142:PQG262165 PGK262142:PGK262165 OWO262142:OWO262165 OMS262142:OMS262165 OCW262142:OCW262165 NTA262142:NTA262165 NJE262142:NJE262165 MZI262142:MZI262165 MPM262142:MPM262165 MFQ262142:MFQ262165 LVU262142:LVU262165 LLY262142:LLY262165 LCC262142:LCC262165 KSG262142:KSG262165 KIK262142:KIK262165 JYO262142:JYO262165 JOS262142:JOS262165 JEW262142:JEW262165 IVA262142:IVA262165 ILE262142:ILE262165 IBI262142:IBI262165 HRM262142:HRM262165 HHQ262142:HHQ262165 GXU262142:GXU262165 GNY262142:GNY262165 GEC262142:GEC262165 FUG262142:FUG262165 FKK262142:FKK262165 FAO262142:FAO262165 EQS262142:EQS262165 EGW262142:EGW262165 DXA262142:DXA262165 DNE262142:DNE262165 DDI262142:DDI262165 CTM262142:CTM262165 CJQ262142:CJQ262165 BZU262142:BZU262165 BPY262142:BPY262165 BGC262142:BGC262165 AWG262142:AWG262165 AMK262142:AMK262165 ACO262142:ACO262165 SS262142:SS262165 IW262142:IW262165 A262142:A262165 WVI196606:WVI196629 WLM196606:WLM196629 WBQ196606:WBQ196629 VRU196606:VRU196629 VHY196606:VHY196629 UYC196606:UYC196629 UOG196606:UOG196629 UEK196606:UEK196629 TUO196606:TUO196629 TKS196606:TKS196629 TAW196606:TAW196629 SRA196606:SRA196629 SHE196606:SHE196629 RXI196606:RXI196629 RNM196606:RNM196629 RDQ196606:RDQ196629 QTU196606:QTU196629 QJY196606:QJY196629 QAC196606:QAC196629 PQG196606:PQG196629 PGK196606:PGK196629 OWO196606:OWO196629 OMS196606:OMS196629 OCW196606:OCW196629 NTA196606:NTA196629 NJE196606:NJE196629 MZI196606:MZI196629 MPM196606:MPM196629 MFQ196606:MFQ196629 LVU196606:LVU196629 LLY196606:LLY196629 LCC196606:LCC196629 KSG196606:KSG196629 KIK196606:KIK196629 JYO196606:JYO196629 JOS196606:JOS196629 JEW196606:JEW196629 IVA196606:IVA196629 ILE196606:ILE196629 IBI196606:IBI196629 HRM196606:HRM196629 HHQ196606:HHQ196629 GXU196606:GXU196629 GNY196606:GNY196629 GEC196606:GEC196629 FUG196606:FUG196629 FKK196606:FKK196629 FAO196606:FAO196629 EQS196606:EQS196629 EGW196606:EGW196629 DXA196606:DXA196629 DNE196606:DNE196629 DDI196606:DDI196629 CTM196606:CTM196629 CJQ196606:CJQ196629 BZU196606:BZU196629 BPY196606:BPY196629 BGC196606:BGC196629 AWG196606:AWG196629 AMK196606:AMK196629 ACO196606:ACO196629 SS196606:SS196629 IW196606:IW196629 A196606:A196629 WVI131070:WVI131093 WLM131070:WLM131093 WBQ131070:WBQ131093 VRU131070:VRU131093 VHY131070:VHY131093 UYC131070:UYC131093 UOG131070:UOG131093 UEK131070:UEK131093 TUO131070:TUO131093 TKS131070:TKS131093 TAW131070:TAW131093 SRA131070:SRA131093 SHE131070:SHE131093 RXI131070:RXI131093 RNM131070:RNM131093 RDQ131070:RDQ131093 QTU131070:QTU131093 QJY131070:QJY131093 QAC131070:QAC131093 PQG131070:PQG131093 PGK131070:PGK131093 OWO131070:OWO131093 OMS131070:OMS131093 OCW131070:OCW131093 NTA131070:NTA131093 NJE131070:NJE131093 MZI131070:MZI131093 MPM131070:MPM131093 MFQ131070:MFQ131093 LVU131070:LVU131093 LLY131070:LLY131093 LCC131070:LCC131093 KSG131070:KSG131093 KIK131070:KIK131093 JYO131070:JYO131093 JOS131070:JOS131093 JEW131070:JEW131093 IVA131070:IVA131093 ILE131070:ILE131093 IBI131070:IBI131093 HRM131070:HRM131093 HHQ131070:HHQ131093 GXU131070:GXU131093 GNY131070:GNY131093 GEC131070:GEC131093 FUG131070:FUG131093 FKK131070:FKK131093 FAO131070:FAO131093 EQS131070:EQS131093 EGW131070:EGW131093 DXA131070:DXA131093 DNE131070:DNE131093 DDI131070:DDI131093 CTM131070:CTM131093 CJQ131070:CJQ131093 BZU131070:BZU131093 BPY131070:BPY131093 BGC131070:BGC131093 AWG131070:AWG131093 AMK131070:AMK131093 ACO131070:ACO131093 SS131070:SS131093 IW131070:IW131093 A131070:A131093 WVI65534:WVI65557 WLM65534:WLM65557 WBQ65534:WBQ65557 VRU65534:VRU65557 VHY65534:VHY65557 UYC65534:UYC65557 UOG65534:UOG65557 UEK65534:UEK65557 TUO65534:TUO65557 TKS65534:TKS65557 TAW65534:TAW65557 SRA65534:SRA65557 SHE65534:SHE65557 RXI65534:RXI65557 RNM65534:RNM65557 RDQ65534:RDQ65557 QTU65534:QTU65557 QJY65534:QJY65557 QAC65534:QAC65557 PQG65534:PQG65557 PGK65534:PGK65557 OWO65534:OWO65557 OMS65534:OMS65557 OCW65534:OCW65557 NTA65534:NTA65557 NJE65534:NJE65557 MZI65534:MZI65557 MPM65534:MPM65557 MFQ65534:MFQ65557 LVU65534:LVU65557 LLY65534:LLY65557 LCC65534:LCC65557 KSG65534:KSG65557 KIK65534:KIK65557 JYO65534:JYO65557 JOS65534:JOS65557 JEW65534:JEW65557 IVA65534:IVA65557 ILE65534:ILE65557 IBI65534:IBI65557 HRM65534:HRM65557 HHQ65534:HHQ65557 GXU65534:GXU65557 GNY65534:GNY65557 GEC65534:GEC65557 FUG65534:FUG65557 FKK65534:FKK65557 FAO65534:FAO65557 EQS65534:EQS65557 EGW65534:EGW65557 DXA65534:DXA65557 DNE65534:DNE65557 DDI65534:DDI65557 CTM65534:CTM65557 CJQ65534:CJQ65557 BZU65534:BZU65557 BPY65534:BPY65557 BGC65534:BGC65557 AWG65534:AWG65557 AMK65534:AMK65557 ACO65534:ACO65557 SS65534:SS65557 IW65534:IW65557 A7:A21 IW7:IW21 SS7:SS21 ACO7:ACO21 AMK7:AMK21 AWG7:AWG21 BGC7:BGC21 BPY7:BPY21 BZU7:BZU21 CJQ7:CJQ21 CTM7:CTM21 DDI7:DDI21 DNE7:DNE21 DXA7:DXA21 EGW7:EGW21 EQS7:EQS21 FAO7:FAO21 FKK7:FKK21 FUG7:FUG21 GEC7:GEC21 GNY7:GNY21 GXU7:GXU21 HHQ7:HHQ21 HRM7:HRM21 IBI7:IBI21 ILE7:ILE21 IVA7:IVA21 JEW7:JEW21 JOS7:JOS21 JYO7:JYO21 KIK7:KIK21 KSG7:KSG21 LCC7:LCC21 LLY7:LLY21 LVU7:LVU21 MFQ7:MFQ21 MPM7:MPM21 MZI7:MZI21 NJE7:NJE21 NTA7:NTA21 OCW7:OCW21 OMS7:OMS21 OWO7:OWO21 PGK7:PGK21 PQG7:PQG21 QAC7:QAC21 QJY7:QJY21 QTU7:QTU21 RDQ7:RDQ21 RNM7:RNM21 RXI7:RXI21 SHE7:SHE21 SRA7:SRA21 TAW7:TAW21 TKS7:TKS21 TUO7:TUO21 UEK7:UEK21 UOG7:UOG21 UYC7:UYC21 VHY7:VHY21 VRU7:VRU21 WBQ7:WBQ21 WLM7:WLM21 WVI7:WVI21">
      <formula1>0</formula1>
      <formula2>0</formula2>
    </dataValidation>
    <dataValidation allowBlank="1" showInputMessage="1" showErrorMessage="1" promptTitle="Input conditions" prompt="that need to be checked." sqref="A65531:A65533 WVI983035:WVI983037 WLM983035:WLM983037 WBQ983035:WBQ983037 VRU983035:VRU983037 VHY983035:VHY983037 UYC983035:UYC983037 UOG983035:UOG983037 UEK983035:UEK983037 TUO983035:TUO983037 TKS983035:TKS983037 TAW983035:TAW983037 SRA983035:SRA983037 SHE983035:SHE983037 RXI983035:RXI983037 RNM983035:RNM983037 RDQ983035:RDQ983037 QTU983035:QTU983037 QJY983035:QJY983037 QAC983035:QAC983037 PQG983035:PQG983037 PGK983035:PGK983037 OWO983035:OWO983037 OMS983035:OMS983037 OCW983035:OCW983037 NTA983035:NTA983037 NJE983035:NJE983037 MZI983035:MZI983037 MPM983035:MPM983037 MFQ983035:MFQ983037 LVU983035:LVU983037 LLY983035:LLY983037 LCC983035:LCC983037 KSG983035:KSG983037 KIK983035:KIK983037 JYO983035:JYO983037 JOS983035:JOS983037 JEW983035:JEW983037 IVA983035:IVA983037 ILE983035:ILE983037 IBI983035:IBI983037 HRM983035:HRM983037 HHQ983035:HHQ983037 GXU983035:GXU983037 GNY983035:GNY983037 GEC983035:GEC983037 FUG983035:FUG983037 FKK983035:FKK983037 FAO983035:FAO983037 EQS983035:EQS983037 EGW983035:EGW983037 DXA983035:DXA983037 DNE983035:DNE983037 DDI983035:DDI983037 CTM983035:CTM983037 CJQ983035:CJQ983037 BZU983035:BZU983037 BPY983035:BPY983037 BGC983035:BGC983037 AWG983035:AWG983037 AMK983035:AMK983037 ACO983035:ACO983037 SS983035:SS983037 IW983035:IW983037 A983035:A983037 WVI917499:WVI917501 WLM917499:WLM917501 WBQ917499:WBQ917501 VRU917499:VRU917501 VHY917499:VHY917501 UYC917499:UYC917501 UOG917499:UOG917501 UEK917499:UEK917501 TUO917499:TUO917501 TKS917499:TKS917501 TAW917499:TAW917501 SRA917499:SRA917501 SHE917499:SHE917501 RXI917499:RXI917501 RNM917499:RNM917501 RDQ917499:RDQ917501 QTU917499:QTU917501 QJY917499:QJY917501 QAC917499:QAC917501 PQG917499:PQG917501 PGK917499:PGK917501 OWO917499:OWO917501 OMS917499:OMS917501 OCW917499:OCW917501 NTA917499:NTA917501 NJE917499:NJE917501 MZI917499:MZI917501 MPM917499:MPM917501 MFQ917499:MFQ917501 LVU917499:LVU917501 LLY917499:LLY917501 LCC917499:LCC917501 KSG917499:KSG917501 KIK917499:KIK917501 JYO917499:JYO917501 JOS917499:JOS917501 JEW917499:JEW917501 IVA917499:IVA917501 ILE917499:ILE917501 IBI917499:IBI917501 HRM917499:HRM917501 HHQ917499:HHQ917501 GXU917499:GXU917501 GNY917499:GNY917501 GEC917499:GEC917501 FUG917499:FUG917501 FKK917499:FKK917501 FAO917499:FAO917501 EQS917499:EQS917501 EGW917499:EGW917501 DXA917499:DXA917501 DNE917499:DNE917501 DDI917499:DDI917501 CTM917499:CTM917501 CJQ917499:CJQ917501 BZU917499:BZU917501 BPY917499:BPY917501 BGC917499:BGC917501 AWG917499:AWG917501 AMK917499:AMK917501 ACO917499:ACO917501 SS917499:SS917501 IW917499:IW917501 A917499:A917501 WVI851963:WVI851965 WLM851963:WLM851965 WBQ851963:WBQ851965 VRU851963:VRU851965 VHY851963:VHY851965 UYC851963:UYC851965 UOG851963:UOG851965 UEK851963:UEK851965 TUO851963:TUO851965 TKS851963:TKS851965 TAW851963:TAW851965 SRA851963:SRA851965 SHE851963:SHE851965 RXI851963:RXI851965 RNM851963:RNM851965 RDQ851963:RDQ851965 QTU851963:QTU851965 QJY851963:QJY851965 QAC851963:QAC851965 PQG851963:PQG851965 PGK851963:PGK851965 OWO851963:OWO851965 OMS851963:OMS851965 OCW851963:OCW851965 NTA851963:NTA851965 NJE851963:NJE851965 MZI851963:MZI851965 MPM851963:MPM851965 MFQ851963:MFQ851965 LVU851963:LVU851965 LLY851963:LLY851965 LCC851963:LCC851965 KSG851963:KSG851965 KIK851963:KIK851965 JYO851963:JYO851965 JOS851963:JOS851965 JEW851963:JEW851965 IVA851963:IVA851965 ILE851963:ILE851965 IBI851963:IBI851965 HRM851963:HRM851965 HHQ851963:HHQ851965 GXU851963:GXU851965 GNY851963:GNY851965 GEC851963:GEC851965 FUG851963:FUG851965 FKK851963:FKK851965 FAO851963:FAO851965 EQS851963:EQS851965 EGW851963:EGW851965 DXA851963:DXA851965 DNE851963:DNE851965 DDI851963:DDI851965 CTM851963:CTM851965 CJQ851963:CJQ851965 BZU851963:BZU851965 BPY851963:BPY851965 BGC851963:BGC851965 AWG851963:AWG851965 AMK851963:AMK851965 ACO851963:ACO851965 SS851963:SS851965 IW851963:IW851965 A851963:A851965 WVI786427:WVI786429 WLM786427:WLM786429 WBQ786427:WBQ786429 VRU786427:VRU786429 VHY786427:VHY786429 UYC786427:UYC786429 UOG786427:UOG786429 UEK786427:UEK786429 TUO786427:TUO786429 TKS786427:TKS786429 TAW786427:TAW786429 SRA786427:SRA786429 SHE786427:SHE786429 RXI786427:RXI786429 RNM786427:RNM786429 RDQ786427:RDQ786429 QTU786427:QTU786429 QJY786427:QJY786429 QAC786427:QAC786429 PQG786427:PQG786429 PGK786427:PGK786429 OWO786427:OWO786429 OMS786427:OMS786429 OCW786427:OCW786429 NTA786427:NTA786429 NJE786427:NJE786429 MZI786427:MZI786429 MPM786427:MPM786429 MFQ786427:MFQ786429 LVU786427:LVU786429 LLY786427:LLY786429 LCC786427:LCC786429 KSG786427:KSG786429 KIK786427:KIK786429 JYO786427:JYO786429 JOS786427:JOS786429 JEW786427:JEW786429 IVA786427:IVA786429 ILE786427:ILE786429 IBI786427:IBI786429 HRM786427:HRM786429 HHQ786427:HHQ786429 GXU786427:GXU786429 GNY786427:GNY786429 GEC786427:GEC786429 FUG786427:FUG786429 FKK786427:FKK786429 FAO786427:FAO786429 EQS786427:EQS786429 EGW786427:EGW786429 DXA786427:DXA786429 DNE786427:DNE786429 DDI786427:DDI786429 CTM786427:CTM786429 CJQ786427:CJQ786429 BZU786427:BZU786429 BPY786427:BPY786429 BGC786427:BGC786429 AWG786427:AWG786429 AMK786427:AMK786429 ACO786427:ACO786429 SS786427:SS786429 IW786427:IW786429 A786427:A786429 WVI720891:WVI720893 WLM720891:WLM720893 WBQ720891:WBQ720893 VRU720891:VRU720893 VHY720891:VHY720893 UYC720891:UYC720893 UOG720891:UOG720893 UEK720891:UEK720893 TUO720891:TUO720893 TKS720891:TKS720893 TAW720891:TAW720893 SRA720891:SRA720893 SHE720891:SHE720893 RXI720891:RXI720893 RNM720891:RNM720893 RDQ720891:RDQ720893 QTU720891:QTU720893 QJY720891:QJY720893 QAC720891:QAC720893 PQG720891:PQG720893 PGK720891:PGK720893 OWO720891:OWO720893 OMS720891:OMS720893 OCW720891:OCW720893 NTA720891:NTA720893 NJE720891:NJE720893 MZI720891:MZI720893 MPM720891:MPM720893 MFQ720891:MFQ720893 LVU720891:LVU720893 LLY720891:LLY720893 LCC720891:LCC720893 KSG720891:KSG720893 KIK720891:KIK720893 JYO720891:JYO720893 JOS720891:JOS720893 JEW720891:JEW720893 IVA720891:IVA720893 ILE720891:ILE720893 IBI720891:IBI720893 HRM720891:HRM720893 HHQ720891:HHQ720893 GXU720891:GXU720893 GNY720891:GNY720893 GEC720891:GEC720893 FUG720891:FUG720893 FKK720891:FKK720893 FAO720891:FAO720893 EQS720891:EQS720893 EGW720891:EGW720893 DXA720891:DXA720893 DNE720891:DNE720893 DDI720891:DDI720893 CTM720891:CTM720893 CJQ720891:CJQ720893 BZU720891:BZU720893 BPY720891:BPY720893 BGC720891:BGC720893 AWG720891:AWG720893 AMK720891:AMK720893 ACO720891:ACO720893 SS720891:SS720893 IW720891:IW720893 A720891:A720893 WVI655355:WVI655357 WLM655355:WLM655357 WBQ655355:WBQ655357 VRU655355:VRU655357 VHY655355:VHY655357 UYC655355:UYC655357 UOG655355:UOG655357 UEK655355:UEK655357 TUO655355:TUO655357 TKS655355:TKS655357 TAW655355:TAW655357 SRA655355:SRA655357 SHE655355:SHE655357 RXI655355:RXI655357 RNM655355:RNM655357 RDQ655355:RDQ655357 QTU655355:QTU655357 QJY655355:QJY655357 QAC655355:QAC655357 PQG655355:PQG655357 PGK655355:PGK655357 OWO655355:OWO655357 OMS655355:OMS655357 OCW655355:OCW655357 NTA655355:NTA655357 NJE655355:NJE655357 MZI655355:MZI655357 MPM655355:MPM655357 MFQ655355:MFQ655357 LVU655355:LVU655357 LLY655355:LLY655357 LCC655355:LCC655357 KSG655355:KSG655357 KIK655355:KIK655357 JYO655355:JYO655357 JOS655355:JOS655357 JEW655355:JEW655357 IVA655355:IVA655357 ILE655355:ILE655357 IBI655355:IBI655357 HRM655355:HRM655357 HHQ655355:HHQ655357 GXU655355:GXU655357 GNY655355:GNY655357 GEC655355:GEC655357 FUG655355:FUG655357 FKK655355:FKK655357 FAO655355:FAO655357 EQS655355:EQS655357 EGW655355:EGW655357 DXA655355:DXA655357 DNE655355:DNE655357 DDI655355:DDI655357 CTM655355:CTM655357 CJQ655355:CJQ655357 BZU655355:BZU655357 BPY655355:BPY655357 BGC655355:BGC655357 AWG655355:AWG655357 AMK655355:AMK655357 ACO655355:ACO655357 SS655355:SS655357 IW655355:IW655357 A655355:A655357 WVI589819:WVI589821 WLM589819:WLM589821 WBQ589819:WBQ589821 VRU589819:VRU589821 VHY589819:VHY589821 UYC589819:UYC589821 UOG589819:UOG589821 UEK589819:UEK589821 TUO589819:TUO589821 TKS589819:TKS589821 TAW589819:TAW589821 SRA589819:SRA589821 SHE589819:SHE589821 RXI589819:RXI589821 RNM589819:RNM589821 RDQ589819:RDQ589821 QTU589819:QTU589821 QJY589819:QJY589821 QAC589819:QAC589821 PQG589819:PQG589821 PGK589819:PGK589821 OWO589819:OWO589821 OMS589819:OMS589821 OCW589819:OCW589821 NTA589819:NTA589821 NJE589819:NJE589821 MZI589819:MZI589821 MPM589819:MPM589821 MFQ589819:MFQ589821 LVU589819:LVU589821 LLY589819:LLY589821 LCC589819:LCC589821 KSG589819:KSG589821 KIK589819:KIK589821 JYO589819:JYO589821 JOS589819:JOS589821 JEW589819:JEW589821 IVA589819:IVA589821 ILE589819:ILE589821 IBI589819:IBI589821 HRM589819:HRM589821 HHQ589819:HHQ589821 GXU589819:GXU589821 GNY589819:GNY589821 GEC589819:GEC589821 FUG589819:FUG589821 FKK589819:FKK589821 FAO589819:FAO589821 EQS589819:EQS589821 EGW589819:EGW589821 DXA589819:DXA589821 DNE589819:DNE589821 DDI589819:DDI589821 CTM589819:CTM589821 CJQ589819:CJQ589821 BZU589819:BZU589821 BPY589819:BPY589821 BGC589819:BGC589821 AWG589819:AWG589821 AMK589819:AMK589821 ACO589819:ACO589821 SS589819:SS589821 IW589819:IW589821 A589819:A589821 WVI524283:WVI524285 WLM524283:WLM524285 WBQ524283:WBQ524285 VRU524283:VRU524285 VHY524283:VHY524285 UYC524283:UYC524285 UOG524283:UOG524285 UEK524283:UEK524285 TUO524283:TUO524285 TKS524283:TKS524285 TAW524283:TAW524285 SRA524283:SRA524285 SHE524283:SHE524285 RXI524283:RXI524285 RNM524283:RNM524285 RDQ524283:RDQ524285 QTU524283:QTU524285 QJY524283:QJY524285 QAC524283:QAC524285 PQG524283:PQG524285 PGK524283:PGK524285 OWO524283:OWO524285 OMS524283:OMS524285 OCW524283:OCW524285 NTA524283:NTA524285 NJE524283:NJE524285 MZI524283:MZI524285 MPM524283:MPM524285 MFQ524283:MFQ524285 LVU524283:LVU524285 LLY524283:LLY524285 LCC524283:LCC524285 KSG524283:KSG524285 KIK524283:KIK524285 JYO524283:JYO524285 JOS524283:JOS524285 JEW524283:JEW524285 IVA524283:IVA524285 ILE524283:ILE524285 IBI524283:IBI524285 HRM524283:HRM524285 HHQ524283:HHQ524285 GXU524283:GXU524285 GNY524283:GNY524285 GEC524283:GEC524285 FUG524283:FUG524285 FKK524283:FKK524285 FAO524283:FAO524285 EQS524283:EQS524285 EGW524283:EGW524285 DXA524283:DXA524285 DNE524283:DNE524285 DDI524283:DDI524285 CTM524283:CTM524285 CJQ524283:CJQ524285 BZU524283:BZU524285 BPY524283:BPY524285 BGC524283:BGC524285 AWG524283:AWG524285 AMK524283:AMK524285 ACO524283:ACO524285 SS524283:SS524285 IW524283:IW524285 A524283:A524285 WVI458747:WVI458749 WLM458747:WLM458749 WBQ458747:WBQ458749 VRU458747:VRU458749 VHY458747:VHY458749 UYC458747:UYC458749 UOG458747:UOG458749 UEK458747:UEK458749 TUO458747:TUO458749 TKS458747:TKS458749 TAW458747:TAW458749 SRA458747:SRA458749 SHE458747:SHE458749 RXI458747:RXI458749 RNM458747:RNM458749 RDQ458747:RDQ458749 QTU458747:QTU458749 QJY458747:QJY458749 QAC458747:QAC458749 PQG458747:PQG458749 PGK458747:PGK458749 OWO458747:OWO458749 OMS458747:OMS458749 OCW458747:OCW458749 NTA458747:NTA458749 NJE458747:NJE458749 MZI458747:MZI458749 MPM458747:MPM458749 MFQ458747:MFQ458749 LVU458747:LVU458749 LLY458747:LLY458749 LCC458747:LCC458749 KSG458747:KSG458749 KIK458747:KIK458749 JYO458747:JYO458749 JOS458747:JOS458749 JEW458747:JEW458749 IVA458747:IVA458749 ILE458747:ILE458749 IBI458747:IBI458749 HRM458747:HRM458749 HHQ458747:HHQ458749 GXU458747:GXU458749 GNY458747:GNY458749 GEC458747:GEC458749 FUG458747:FUG458749 FKK458747:FKK458749 FAO458747:FAO458749 EQS458747:EQS458749 EGW458747:EGW458749 DXA458747:DXA458749 DNE458747:DNE458749 DDI458747:DDI458749 CTM458747:CTM458749 CJQ458747:CJQ458749 BZU458747:BZU458749 BPY458747:BPY458749 BGC458747:BGC458749 AWG458747:AWG458749 AMK458747:AMK458749 ACO458747:ACO458749 SS458747:SS458749 IW458747:IW458749 A458747:A458749 WVI393211:WVI393213 WLM393211:WLM393213 WBQ393211:WBQ393213 VRU393211:VRU393213 VHY393211:VHY393213 UYC393211:UYC393213 UOG393211:UOG393213 UEK393211:UEK393213 TUO393211:TUO393213 TKS393211:TKS393213 TAW393211:TAW393213 SRA393211:SRA393213 SHE393211:SHE393213 RXI393211:RXI393213 RNM393211:RNM393213 RDQ393211:RDQ393213 QTU393211:QTU393213 QJY393211:QJY393213 QAC393211:QAC393213 PQG393211:PQG393213 PGK393211:PGK393213 OWO393211:OWO393213 OMS393211:OMS393213 OCW393211:OCW393213 NTA393211:NTA393213 NJE393211:NJE393213 MZI393211:MZI393213 MPM393211:MPM393213 MFQ393211:MFQ393213 LVU393211:LVU393213 LLY393211:LLY393213 LCC393211:LCC393213 KSG393211:KSG393213 KIK393211:KIK393213 JYO393211:JYO393213 JOS393211:JOS393213 JEW393211:JEW393213 IVA393211:IVA393213 ILE393211:ILE393213 IBI393211:IBI393213 HRM393211:HRM393213 HHQ393211:HHQ393213 GXU393211:GXU393213 GNY393211:GNY393213 GEC393211:GEC393213 FUG393211:FUG393213 FKK393211:FKK393213 FAO393211:FAO393213 EQS393211:EQS393213 EGW393211:EGW393213 DXA393211:DXA393213 DNE393211:DNE393213 DDI393211:DDI393213 CTM393211:CTM393213 CJQ393211:CJQ393213 BZU393211:BZU393213 BPY393211:BPY393213 BGC393211:BGC393213 AWG393211:AWG393213 AMK393211:AMK393213 ACO393211:ACO393213 SS393211:SS393213 IW393211:IW393213 A393211:A393213 WVI327675:WVI327677 WLM327675:WLM327677 WBQ327675:WBQ327677 VRU327675:VRU327677 VHY327675:VHY327677 UYC327675:UYC327677 UOG327675:UOG327677 UEK327675:UEK327677 TUO327675:TUO327677 TKS327675:TKS327677 TAW327675:TAW327677 SRA327675:SRA327677 SHE327675:SHE327677 RXI327675:RXI327677 RNM327675:RNM327677 RDQ327675:RDQ327677 QTU327675:QTU327677 QJY327675:QJY327677 QAC327675:QAC327677 PQG327675:PQG327677 PGK327675:PGK327677 OWO327675:OWO327677 OMS327675:OMS327677 OCW327675:OCW327677 NTA327675:NTA327677 NJE327675:NJE327677 MZI327675:MZI327677 MPM327675:MPM327677 MFQ327675:MFQ327677 LVU327675:LVU327677 LLY327675:LLY327677 LCC327675:LCC327677 KSG327675:KSG327677 KIK327675:KIK327677 JYO327675:JYO327677 JOS327675:JOS327677 JEW327675:JEW327677 IVA327675:IVA327677 ILE327675:ILE327677 IBI327675:IBI327677 HRM327675:HRM327677 HHQ327675:HHQ327677 GXU327675:GXU327677 GNY327675:GNY327677 GEC327675:GEC327677 FUG327675:FUG327677 FKK327675:FKK327677 FAO327675:FAO327677 EQS327675:EQS327677 EGW327675:EGW327677 DXA327675:DXA327677 DNE327675:DNE327677 DDI327675:DDI327677 CTM327675:CTM327677 CJQ327675:CJQ327677 BZU327675:BZU327677 BPY327675:BPY327677 BGC327675:BGC327677 AWG327675:AWG327677 AMK327675:AMK327677 ACO327675:ACO327677 SS327675:SS327677 IW327675:IW327677 A327675:A327677 WVI262139:WVI262141 WLM262139:WLM262141 WBQ262139:WBQ262141 VRU262139:VRU262141 VHY262139:VHY262141 UYC262139:UYC262141 UOG262139:UOG262141 UEK262139:UEK262141 TUO262139:TUO262141 TKS262139:TKS262141 TAW262139:TAW262141 SRA262139:SRA262141 SHE262139:SHE262141 RXI262139:RXI262141 RNM262139:RNM262141 RDQ262139:RDQ262141 QTU262139:QTU262141 QJY262139:QJY262141 QAC262139:QAC262141 PQG262139:PQG262141 PGK262139:PGK262141 OWO262139:OWO262141 OMS262139:OMS262141 OCW262139:OCW262141 NTA262139:NTA262141 NJE262139:NJE262141 MZI262139:MZI262141 MPM262139:MPM262141 MFQ262139:MFQ262141 LVU262139:LVU262141 LLY262139:LLY262141 LCC262139:LCC262141 KSG262139:KSG262141 KIK262139:KIK262141 JYO262139:JYO262141 JOS262139:JOS262141 JEW262139:JEW262141 IVA262139:IVA262141 ILE262139:ILE262141 IBI262139:IBI262141 HRM262139:HRM262141 HHQ262139:HHQ262141 GXU262139:GXU262141 GNY262139:GNY262141 GEC262139:GEC262141 FUG262139:FUG262141 FKK262139:FKK262141 FAO262139:FAO262141 EQS262139:EQS262141 EGW262139:EGW262141 DXA262139:DXA262141 DNE262139:DNE262141 DDI262139:DDI262141 CTM262139:CTM262141 CJQ262139:CJQ262141 BZU262139:BZU262141 BPY262139:BPY262141 BGC262139:BGC262141 AWG262139:AWG262141 AMK262139:AMK262141 ACO262139:ACO262141 SS262139:SS262141 IW262139:IW262141 A262139:A262141 WVI196603:WVI196605 WLM196603:WLM196605 WBQ196603:WBQ196605 VRU196603:VRU196605 VHY196603:VHY196605 UYC196603:UYC196605 UOG196603:UOG196605 UEK196603:UEK196605 TUO196603:TUO196605 TKS196603:TKS196605 TAW196603:TAW196605 SRA196603:SRA196605 SHE196603:SHE196605 RXI196603:RXI196605 RNM196603:RNM196605 RDQ196603:RDQ196605 QTU196603:QTU196605 QJY196603:QJY196605 QAC196603:QAC196605 PQG196603:PQG196605 PGK196603:PGK196605 OWO196603:OWO196605 OMS196603:OMS196605 OCW196603:OCW196605 NTA196603:NTA196605 NJE196603:NJE196605 MZI196603:MZI196605 MPM196603:MPM196605 MFQ196603:MFQ196605 LVU196603:LVU196605 LLY196603:LLY196605 LCC196603:LCC196605 KSG196603:KSG196605 KIK196603:KIK196605 JYO196603:JYO196605 JOS196603:JOS196605 JEW196603:JEW196605 IVA196603:IVA196605 ILE196603:ILE196605 IBI196603:IBI196605 HRM196603:HRM196605 HHQ196603:HHQ196605 GXU196603:GXU196605 GNY196603:GNY196605 GEC196603:GEC196605 FUG196603:FUG196605 FKK196603:FKK196605 FAO196603:FAO196605 EQS196603:EQS196605 EGW196603:EGW196605 DXA196603:DXA196605 DNE196603:DNE196605 DDI196603:DDI196605 CTM196603:CTM196605 CJQ196603:CJQ196605 BZU196603:BZU196605 BPY196603:BPY196605 BGC196603:BGC196605 AWG196603:AWG196605 AMK196603:AMK196605 ACO196603:ACO196605 SS196603:SS196605 IW196603:IW196605 A196603:A196605 WVI131067:WVI131069 WLM131067:WLM131069 WBQ131067:WBQ131069 VRU131067:VRU131069 VHY131067:VHY131069 UYC131067:UYC131069 UOG131067:UOG131069 UEK131067:UEK131069 TUO131067:TUO131069 TKS131067:TKS131069 TAW131067:TAW131069 SRA131067:SRA131069 SHE131067:SHE131069 RXI131067:RXI131069 RNM131067:RNM131069 RDQ131067:RDQ131069 QTU131067:QTU131069 QJY131067:QJY131069 QAC131067:QAC131069 PQG131067:PQG131069 PGK131067:PGK131069 OWO131067:OWO131069 OMS131067:OMS131069 OCW131067:OCW131069 NTA131067:NTA131069 NJE131067:NJE131069 MZI131067:MZI131069 MPM131067:MPM131069 MFQ131067:MFQ131069 LVU131067:LVU131069 LLY131067:LLY131069 LCC131067:LCC131069 KSG131067:KSG131069 KIK131067:KIK131069 JYO131067:JYO131069 JOS131067:JOS131069 JEW131067:JEW131069 IVA131067:IVA131069 ILE131067:ILE131069 IBI131067:IBI131069 HRM131067:HRM131069 HHQ131067:HHQ131069 GXU131067:GXU131069 GNY131067:GNY131069 GEC131067:GEC131069 FUG131067:FUG131069 FKK131067:FKK131069 FAO131067:FAO131069 EQS131067:EQS131069 EGW131067:EGW131069 DXA131067:DXA131069 DNE131067:DNE131069 DDI131067:DDI131069 CTM131067:CTM131069 CJQ131067:CJQ131069 BZU131067:BZU131069 BPY131067:BPY131069 BGC131067:BGC131069 AWG131067:AWG131069 AMK131067:AMK131069 ACO131067:ACO131069 SS131067:SS131069 IW131067:IW131069 A131067:A131069 WVI65531:WVI65533 WLM65531:WLM65533 WBQ65531:WBQ65533 VRU65531:VRU65533 VHY65531:VHY65533 UYC65531:UYC65533 UOG65531:UOG65533 UEK65531:UEK65533 TUO65531:TUO65533 TKS65531:TKS65533 TAW65531:TAW65533 SRA65531:SRA65533 SHE65531:SHE65533 RXI65531:RXI65533 RNM65531:RNM65533 RDQ65531:RDQ65533 QTU65531:QTU65533 QJY65531:QJY65533 QAC65531:QAC65533 PQG65531:PQG65533 PGK65531:PGK65533 OWO65531:OWO65533 OMS65531:OMS65533 OCW65531:OCW65533 NTA65531:NTA65533 NJE65531:NJE65533 MZI65531:MZI65533 MPM65531:MPM65533 MFQ65531:MFQ65533 LVU65531:LVU65533 LLY65531:LLY65533 LCC65531:LCC65533 KSG65531:KSG65533 KIK65531:KIK65533 JYO65531:JYO65533 JOS65531:JOS65533 JEW65531:JEW65533 IVA65531:IVA65533 ILE65531:ILE65533 IBI65531:IBI65533 HRM65531:HRM65533 HHQ65531:HHQ65533 GXU65531:GXU65533 GNY65531:GNY65533 GEC65531:GEC65533 FUG65531:FUG65533 FKK65531:FKK65533 FAO65531:FAO65533 EQS65531:EQS65533 EGW65531:EGW65533 DXA65531:DXA65533 DNE65531:DNE65533 DDI65531:DDI65533 CTM65531:CTM65533 CJQ65531:CJQ65533 BZU65531:BZU65533 BPY65531:BPY65533 BGC65531:BGC65533 AWG65531:AWG65533 AMK65531:AMK65533 ACO65531:ACO65533 SS65531:SS65533 IW65531:IW65533 A4:A6 IW4:IW6 SS4:SS6 ACO4:ACO6 AMK4:AMK6 AWG4:AWG6 BGC4:BGC6 BPY4:BPY6 BZU4:BZU6 CJQ4:CJQ6 CTM4:CTM6 DDI4:DDI6 DNE4:DNE6 DXA4:DXA6 EGW4:EGW6 EQS4:EQS6 FAO4:FAO6 FKK4:FKK6 FUG4:FUG6 GEC4:GEC6 GNY4:GNY6 GXU4:GXU6 HHQ4:HHQ6 HRM4:HRM6 IBI4:IBI6 ILE4:ILE6 IVA4:IVA6 JEW4:JEW6 JOS4:JOS6 JYO4:JYO6 KIK4:KIK6 KSG4:KSG6 LCC4:LCC6 LLY4:LLY6 LVU4:LVU6 MFQ4:MFQ6 MPM4:MPM6 MZI4:MZI6 NJE4:NJE6 NTA4:NTA6 OCW4:OCW6 OMS4:OMS6 OWO4:OWO6 PGK4:PGK6 PQG4:PQG6 QAC4:QAC6 QJY4:QJY6 QTU4:QTU6 RDQ4:RDQ6 RNM4:RNM6 RXI4:RXI6 SHE4:SHE6 SRA4:SRA6 TAW4:TAW6 TKS4:TKS6 TUO4:TUO6 UEK4:UEK6 UOG4:UOG6 UYC4:UYC6 VHY4:VHY6 VRU4:VRU6 WBQ4:WBQ6 WLM4:WLM6 WVI4:WVI6">
      <formula1>0</formula1>
      <formula2>0</formula2>
    </dataValidation>
    <dataValidation type="list" allowBlank="1" showErrorMessage="1" sqref="JD25:KB25 WVP983065:WWN983065 WLT983065:WMR983065 WBX983065:WCV983065 VSB983065:VSZ983065 VIF983065:VJD983065 UYJ983065:UZH983065 UON983065:UPL983065 UER983065:UFP983065 TUV983065:TVT983065 TKZ983065:TLX983065 TBD983065:TCB983065 SRH983065:SSF983065 SHL983065:SIJ983065 RXP983065:RYN983065 RNT983065:ROR983065 RDX983065:REV983065 QUB983065:QUZ983065 QKF983065:QLD983065 QAJ983065:QBH983065 PQN983065:PRL983065 PGR983065:PHP983065 OWV983065:OXT983065 OMZ983065:ONX983065 ODD983065:OEB983065 NTH983065:NUF983065 NJL983065:NKJ983065 MZP983065:NAN983065 MPT983065:MQR983065 MFX983065:MGV983065 LWB983065:LWZ983065 LMF983065:LND983065 LCJ983065:LDH983065 KSN983065:KTL983065 KIR983065:KJP983065 JYV983065:JZT983065 JOZ983065:JPX983065 JFD983065:JGB983065 IVH983065:IWF983065 ILL983065:IMJ983065 IBP983065:ICN983065 HRT983065:HSR983065 HHX983065:HIV983065 GYB983065:GYZ983065 GOF983065:GPD983065 GEJ983065:GFH983065 FUN983065:FVL983065 FKR983065:FLP983065 FAV983065:FBT983065 EQZ983065:ERX983065 EHD983065:EIB983065 DXH983065:DYF983065 DNL983065:DOJ983065 DDP983065:DEN983065 CTT983065:CUR983065 CJX983065:CKV983065 CAB983065:CAZ983065 BQF983065:BRD983065 BGJ983065:BHH983065 AWN983065:AXL983065 AMR983065:ANP983065 ACV983065:ADT983065 SZ983065:TX983065 JD983065:KB983065 H983065:AF983065 WVP917529:WWN917529 WLT917529:WMR917529 WBX917529:WCV917529 VSB917529:VSZ917529 VIF917529:VJD917529 UYJ917529:UZH917529 UON917529:UPL917529 UER917529:UFP917529 TUV917529:TVT917529 TKZ917529:TLX917529 TBD917529:TCB917529 SRH917529:SSF917529 SHL917529:SIJ917529 RXP917529:RYN917529 RNT917529:ROR917529 RDX917529:REV917529 QUB917529:QUZ917529 QKF917529:QLD917529 QAJ917529:QBH917529 PQN917529:PRL917529 PGR917529:PHP917529 OWV917529:OXT917529 OMZ917529:ONX917529 ODD917529:OEB917529 NTH917529:NUF917529 NJL917529:NKJ917529 MZP917529:NAN917529 MPT917529:MQR917529 MFX917529:MGV917529 LWB917529:LWZ917529 LMF917529:LND917529 LCJ917529:LDH917529 KSN917529:KTL917529 KIR917529:KJP917529 JYV917529:JZT917529 JOZ917529:JPX917529 JFD917529:JGB917529 IVH917529:IWF917529 ILL917529:IMJ917529 IBP917529:ICN917529 HRT917529:HSR917529 HHX917529:HIV917529 GYB917529:GYZ917529 GOF917529:GPD917529 GEJ917529:GFH917529 FUN917529:FVL917529 FKR917529:FLP917529 FAV917529:FBT917529 EQZ917529:ERX917529 EHD917529:EIB917529 DXH917529:DYF917529 DNL917529:DOJ917529 DDP917529:DEN917529 CTT917529:CUR917529 CJX917529:CKV917529 CAB917529:CAZ917529 BQF917529:BRD917529 BGJ917529:BHH917529 AWN917529:AXL917529 AMR917529:ANP917529 ACV917529:ADT917529 SZ917529:TX917529 JD917529:KB917529 H917529:AF917529 WVP851993:WWN851993 WLT851993:WMR851993 WBX851993:WCV851993 VSB851993:VSZ851993 VIF851993:VJD851993 UYJ851993:UZH851993 UON851993:UPL851993 UER851993:UFP851993 TUV851993:TVT851993 TKZ851993:TLX851993 TBD851993:TCB851993 SRH851993:SSF851993 SHL851993:SIJ851993 RXP851993:RYN851993 RNT851993:ROR851993 RDX851993:REV851993 QUB851993:QUZ851993 QKF851993:QLD851993 QAJ851993:QBH851993 PQN851993:PRL851993 PGR851993:PHP851993 OWV851993:OXT851993 OMZ851993:ONX851993 ODD851993:OEB851993 NTH851993:NUF851993 NJL851993:NKJ851993 MZP851993:NAN851993 MPT851993:MQR851993 MFX851993:MGV851993 LWB851993:LWZ851993 LMF851993:LND851993 LCJ851993:LDH851993 KSN851993:KTL851993 KIR851993:KJP851993 JYV851993:JZT851993 JOZ851993:JPX851993 JFD851993:JGB851993 IVH851993:IWF851993 ILL851993:IMJ851993 IBP851993:ICN851993 HRT851993:HSR851993 HHX851993:HIV851993 GYB851993:GYZ851993 GOF851993:GPD851993 GEJ851993:GFH851993 FUN851993:FVL851993 FKR851993:FLP851993 FAV851993:FBT851993 EQZ851993:ERX851993 EHD851993:EIB851993 DXH851993:DYF851993 DNL851993:DOJ851993 DDP851993:DEN851993 CTT851993:CUR851993 CJX851993:CKV851993 CAB851993:CAZ851993 BQF851993:BRD851993 BGJ851993:BHH851993 AWN851993:AXL851993 AMR851993:ANP851993 ACV851993:ADT851993 SZ851993:TX851993 JD851993:KB851993 H851993:AF851993 WVP786457:WWN786457 WLT786457:WMR786457 WBX786457:WCV786457 VSB786457:VSZ786457 VIF786457:VJD786457 UYJ786457:UZH786457 UON786457:UPL786457 UER786457:UFP786457 TUV786457:TVT786457 TKZ786457:TLX786457 TBD786457:TCB786457 SRH786457:SSF786457 SHL786457:SIJ786457 RXP786457:RYN786457 RNT786457:ROR786457 RDX786457:REV786457 QUB786457:QUZ786457 QKF786457:QLD786457 QAJ786457:QBH786457 PQN786457:PRL786457 PGR786457:PHP786457 OWV786457:OXT786457 OMZ786457:ONX786457 ODD786457:OEB786457 NTH786457:NUF786457 NJL786457:NKJ786457 MZP786457:NAN786457 MPT786457:MQR786457 MFX786457:MGV786457 LWB786457:LWZ786457 LMF786457:LND786457 LCJ786457:LDH786457 KSN786457:KTL786457 KIR786457:KJP786457 JYV786457:JZT786457 JOZ786457:JPX786457 JFD786457:JGB786457 IVH786457:IWF786457 ILL786457:IMJ786457 IBP786457:ICN786457 HRT786457:HSR786457 HHX786457:HIV786457 GYB786457:GYZ786457 GOF786457:GPD786457 GEJ786457:GFH786457 FUN786457:FVL786457 FKR786457:FLP786457 FAV786457:FBT786457 EQZ786457:ERX786457 EHD786457:EIB786457 DXH786457:DYF786457 DNL786457:DOJ786457 DDP786457:DEN786457 CTT786457:CUR786457 CJX786457:CKV786457 CAB786457:CAZ786457 BQF786457:BRD786457 BGJ786457:BHH786457 AWN786457:AXL786457 AMR786457:ANP786457 ACV786457:ADT786457 SZ786457:TX786457 JD786457:KB786457 H786457:AF786457 WVP720921:WWN720921 WLT720921:WMR720921 WBX720921:WCV720921 VSB720921:VSZ720921 VIF720921:VJD720921 UYJ720921:UZH720921 UON720921:UPL720921 UER720921:UFP720921 TUV720921:TVT720921 TKZ720921:TLX720921 TBD720921:TCB720921 SRH720921:SSF720921 SHL720921:SIJ720921 RXP720921:RYN720921 RNT720921:ROR720921 RDX720921:REV720921 QUB720921:QUZ720921 QKF720921:QLD720921 QAJ720921:QBH720921 PQN720921:PRL720921 PGR720921:PHP720921 OWV720921:OXT720921 OMZ720921:ONX720921 ODD720921:OEB720921 NTH720921:NUF720921 NJL720921:NKJ720921 MZP720921:NAN720921 MPT720921:MQR720921 MFX720921:MGV720921 LWB720921:LWZ720921 LMF720921:LND720921 LCJ720921:LDH720921 KSN720921:KTL720921 KIR720921:KJP720921 JYV720921:JZT720921 JOZ720921:JPX720921 JFD720921:JGB720921 IVH720921:IWF720921 ILL720921:IMJ720921 IBP720921:ICN720921 HRT720921:HSR720921 HHX720921:HIV720921 GYB720921:GYZ720921 GOF720921:GPD720921 GEJ720921:GFH720921 FUN720921:FVL720921 FKR720921:FLP720921 FAV720921:FBT720921 EQZ720921:ERX720921 EHD720921:EIB720921 DXH720921:DYF720921 DNL720921:DOJ720921 DDP720921:DEN720921 CTT720921:CUR720921 CJX720921:CKV720921 CAB720921:CAZ720921 BQF720921:BRD720921 BGJ720921:BHH720921 AWN720921:AXL720921 AMR720921:ANP720921 ACV720921:ADT720921 SZ720921:TX720921 JD720921:KB720921 H720921:AF720921 WVP655385:WWN655385 WLT655385:WMR655385 WBX655385:WCV655385 VSB655385:VSZ655385 VIF655385:VJD655385 UYJ655385:UZH655385 UON655385:UPL655385 UER655385:UFP655385 TUV655385:TVT655385 TKZ655385:TLX655385 TBD655385:TCB655385 SRH655385:SSF655385 SHL655385:SIJ655385 RXP655385:RYN655385 RNT655385:ROR655385 RDX655385:REV655385 QUB655385:QUZ655385 QKF655385:QLD655385 QAJ655385:QBH655385 PQN655385:PRL655385 PGR655385:PHP655385 OWV655385:OXT655385 OMZ655385:ONX655385 ODD655385:OEB655385 NTH655385:NUF655385 NJL655385:NKJ655385 MZP655385:NAN655385 MPT655385:MQR655385 MFX655385:MGV655385 LWB655385:LWZ655385 LMF655385:LND655385 LCJ655385:LDH655385 KSN655385:KTL655385 KIR655385:KJP655385 JYV655385:JZT655385 JOZ655385:JPX655385 JFD655385:JGB655385 IVH655385:IWF655385 ILL655385:IMJ655385 IBP655385:ICN655385 HRT655385:HSR655385 HHX655385:HIV655385 GYB655385:GYZ655385 GOF655385:GPD655385 GEJ655385:GFH655385 FUN655385:FVL655385 FKR655385:FLP655385 FAV655385:FBT655385 EQZ655385:ERX655385 EHD655385:EIB655385 DXH655385:DYF655385 DNL655385:DOJ655385 DDP655385:DEN655385 CTT655385:CUR655385 CJX655385:CKV655385 CAB655385:CAZ655385 BQF655385:BRD655385 BGJ655385:BHH655385 AWN655385:AXL655385 AMR655385:ANP655385 ACV655385:ADT655385 SZ655385:TX655385 JD655385:KB655385 H655385:AF655385 WVP589849:WWN589849 WLT589849:WMR589849 WBX589849:WCV589849 VSB589849:VSZ589849 VIF589849:VJD589849 UYJ589849:UZH589849 UON589849:UPL589849 UER589849:UFP589849 TUV589849:TVT589849 TKZ589849:TLX589849 TBD589849:TCB589849 SRH589849:SSF589849 SHL589849:SIJ589849 RXP589849:RYN589849 RNT589849:ROR589849 RDX589849:REV589849 QUB589849:QUZ589849 QKF589849:QLD589849 QAJ589849:QBH589849 PQN589849:PRL589849 PGR589849:PHP589849 OWV589849:OXT589849 OMZ589849:ONX589849 ODD589849:OEB589849 NTH589849:NUF589849 NJL589849:NKJ589849 MZP589849:NAN589849 MPT589849:MQR589849 MFX589849:MGV589849 LWB589849:LWZ589849 LMF589849:LND589849 LCJ589849:LDH589849 KSN589849:KTL589849 KIR589849:KJP589849 JYV589849:JZT589849 JOZ589849:JPX589849 JFD589849:JGB589849 IVH589849:IWF589849 ILL589849:IMJ589849 IBP589849:ICN589849 HRT589849:HSR589849 HHX589849:HIV589849 GYB589849:GYZ589849 GOF589849:GPD589849 GEJ589849:GFH589849 FUN589849:FVL589849 FKR589849:FLP589849 FAV589849:FBT589849 EQZ589849:ERX589849 EHD589849:EIB589849 DXH589849:DYF589849 DNL589849:DOJ589849 DDP589849:DEN589849 CTT589849:CUR589849 CJX589849:CKV589849 CAB589849:CAZ589849 BQF589849:BRD589849 BGJ589849:BHH589849 AWN589849:AXL589849 AMR589849:ANP589849 ACV589849:ADT589849 SZ589849:TX589849 JD589849:KB589849 H589849:AF589849 WVP524313:WWN524313 WLT524313:WMR524313 WBX524313:WCV524313 VSB524313:VSZ524313 VIF524313:VJD524313 UYJ524313:UZH524313 UON524313:UPL524313 UER524313:UFP524313 TUV524313:TVT524313 TKZ524313:TLX524313 TBD524313:TCB524313 SRH524313:SSF524313 SHL524313:SIJ524313 RXP524313:RYN524313 RNT524313:ROR524313 RDX524313:REV524313 QUB524313:QUZ524313 QKF524313:QLD524313 QAJ524313:QBH524313 PQN524313:PRL524313 PGR524313:PHP524313 OWV524313:OXT524313 OMZ524313:ONX524313 ODD524313:OEB524313 NTH524313:NUF524313 NJL524313:NKJ524313 MZP524313:NAN524313 MPT524313:MQR524313 MFX524313:MGV524313 LWB524313:LWZ524313 LMF524313:LND524313 LCJ524313:LDH524313 KSN524313:KTL524313 KIR524313:KJP524313 JYV524313:JZT524313 JOZ524313:JPX524313 JFD524313:JGB524313 IVH524313:IWF524313 ILL524313:IMJ524313 IBP524313:ICN524313 HRT524313:HSR524313 HHX524313:HIV524313 GYB524313:GYZ524313 GOF524313:GPD524313 GEJ524313:GFH524313 FUN524313:FVL524313 FKR524313:FLP524313 FAV524313:FBT524313 EQZ524313:ERX524313 EHD524313:EIB524313 DXH524313:DYF524313 DNL524313:DOJ524313 DDP524313:DEN524313 CTT524313:CUR524313 CJX524313:CKV524313 CAB524313:CAZ524313 BQF524313:BRD524313 BGJ524313:BHH524313 AWN524313:AXL524313 AMR524313:ANP524313 ACV524313:ADT524313 SZ524313:TX524313 JD524313:KB524313 H524313:AF524313 WVP458777:WWN458777 WLT458777:WMR458777 WBX458777:WCV458777 VSB458777:VSZ458777 VIF458777:VJD458777 UYJ458777:UZH458777 UON458777:UPL458777 UER458777:UFP458777 TUV458777:TVT458777 TKZ458777:TLX458777 TBD458777:TCB458777 SRH458777:SSF458777 SHL458777:SIJ458777 RXP458777:RYN458777 RNT458777:ROR458777 RDX458777:REV458777 QUB458777:QUZ458777 QKF458777:QLD458777 QAJ458777:QBH458777 PQN458777:PRL458777 PGR458777:PHP458777 OWV458777:OXT458777 OMZ458777:ONX458777 ODD458777:OEB458777 NTH458777:NUF458777 NJL458777:NKJ458777 MZP458777:NAN458777 MPT458777:MQR458777 MFX458777:MGV458777 LWB458777:LWZ458777 LMF458777:LND458777 LCJ458777:LDH458777 KSN458777:KTL458777 KIR458777:KJP458777 JYV458777:JZT458777 JOZ458777:JPX458777 JFD458777:JGB458777 IVH458777:IWF458777 ILL458777:IMJ458777 IBP458777:ICN458777 HRT458777:HSR458777 HHX458777:HIV458777 GYB458777:GYZ458777 GOF458777:GPD458777 GEJ458777:GFH458777 FUN458777:FVL458777 FKR458777:FLP458777 FAV458777:FBT458777 EQZ458777:ERX458777 EHD458777:EIB458777 DXH458777:DYF458777 DNL458777:DOJ458777 DDP458777:DEN458777 CTT458777:CUR458777 CJX458777:CKV458777 CAB458777:CAZ458777 BQF458777:BRD458777 BGJ458777:BHH458777 AWN458777:AXL458777 AMR458777:ANP458777 ACV458777:ADT458777 SZ458777:TX458777 JD458777:KB458777 H458777:AF458777 WVP393241:WWN393241 WLT393241:WMR393241 WBX393241:WCV393241 VSB393241:VSZ393241 VIF393241:VJD393241 UYJ393241:UZH393241 UON393241:UPL393241 UER393241:UFP393241 TUV393241:TVT393241 TKZ393241:TLX393241 TBD393241:TCB393241 SRH393241:SSF393241 SHL393241:SIJ393241 RXP393241:RYN393241 RNT393241:ROR393241 RDX393241:REV393241 QUB393241:QUZ393241 QKF393241:QLD393241 QAJ393241:QBH393241 PQN393241:PRL393241 PGR393241:PHP393241 OWV393241:OXT393241 OMZ393241:ONX393241 ODD393241:OEB393241 NTH393241:NUF393241 NJL393241:NKJ393241 MZP393241:NAN393241 MPT393241:MQR393241 MFX393241:MGV393241 LWB393241:LWZ393241 LMF393241:LND393241 LCJ393241:LDH393241 KSN393241:KTL393241 KIR393241:KJP393241 JYV393241:JZT393241 JOZ393241:JPX393241 JFD393241:JGB393241 IVH393241:IWF393241 ILL393241:IMJ393241 IBP393241:ICN393241 HRT393241:HSR393241 HHX393241:HIV393241 GYB393241:GYZ393241 GOF393241:GPD393241 GEJ393241:GFH393241 FUN393241:FVL393241 FKR393241:FLP393241 FAV393241:FBT393241 EQZ393241:ERX393241 EHD393241:EIB393241 DXH393241:DYF393241 DNL393241:DOJ393241 DDP393241:DEN393241 CTT393241:CUR393241 CJX393241:CKV393241 CAB393241:CAZ393241 BQF393241:BRD393241 BGJ393241:BHH393241 AWN393241:AXL393241 AMR393241:ANP393241 ACV393241:ADT393241 SZ393241:TX393241 JD393241:KB393241 H393241:AF393241 WVP327705:WWN327705 WLT327705:WMR327705 WBX327705:WCV327705 VSB327705:VSZ327705 VIF327705:VJD327705 UYJ327705:UZH327705 UON327705:UPL327705 UER327705:UFP327705 TUV327705:TVT327705 TKZ327705:TLX327705 TBD327705:TCB327705 SRH327705:SSF327705 SHL327705:SIJ327705 RXP327705:RYN327705 RNT327705:ROR327705 RDX327705:REV327705 QUB327705:QUZ327705 QKF327705:QLD327705 QAJ327705:QBH327705 PQN327705:PRL327705 PGR327705:PHP327705 OWV327705:OXT327705 OMZ327705:ONX327705 ODD327705:OEB327705 NTH327705:NUF327705 NJL327705:NKJ327705 MZP327705:NAN327705 MPT327705:MQR327705 MFX327705:MGV327705 LWB327705:LWZ327705 LMF327705:LND327705 LCJ327705:LDH327705 KSN327705:KTL327705 KIR327705:KJP327705 JYV327705:JZT327705 JOZ327705:JPX327705 JFD327705:JGB327705 IVH327705:IWF327705 ILL327705:IMJ327705 IBP327705:ICN327705 HRT327705:HSR327705 HHX327705:HIV327705 GYB327705:GYZ327705 GOF327705:GPD327705 GEJ327705:GFH327705 FUN327705:FVL327705 FKR327705:FLP327705 FAV327705:FBT327705 EQZ327705:ERX327705 EHD327705:EIB327705 DXH327705:DYF327705 DNL327705:DOJ327705 DDP327705:DEN327705 CTT327705:CUR327705 CJX327705:CKV327705 CAB327705:CAZ327705 BQF327705:BRD327705 BGJ327705:BHH327705 AWN327705:AXL327705 AMR327705:ANP327705 ACV327705:ADT327705 SZ327705:TX327705 JD327705:KB327705 H327705:AF327705 WVP262169:WWN262169 WLT262169:WMR262169 WBX262169:WCV262169 VSB262169:VSZ262169 VIF262169:VJD262169 UYJ262169:UZH262169 UON262169:UPL262169 UER262169:UFP262169 TUV262169:TVT262169 TKZ262169:TLX262169 TBD262169:TCB262169 SRH262169:SSF262169 SHL262169:SIJ262169 RXP262169:RYN262169 RNT262169:ROR262169 RDX262169:REV262169 QUB262169:QUZ262169 QKF262169:QLD262169 QAJ262169:QBH262169 PQN262169:PRL262169 PGR262169:PHP262169 OWV262169:OXT262169 OMZ262169:ONX262169 ODD262169:OEB262169 NTH262169:NUF262169 NJL262169:NKJ262169 MZP262169:NAN262169 MPT262169:MQR262169 MFX262169:MGV262169 LWB262169:LWZ262169 LMF262169:LND262169 LCJ262169:LDH262169 KSN262169:KTL262169 KIR262169:KJP262169 JYV262169:JZT262169 JOZ262169:JPX262169 JFD262169:JGB262169 IVH262169:IWF262169 ILL262169:IMJ262169 IBP262169:ICN262169 HRT262169:HSR262169 HHX262169:HIV262169 GYB262169:GYZ262169 GOF262169:GPD262169 GEJ262169:GFH262169 FUN262169:FVL262169 FKR262169:FLP262169 FAV262169:FBT262169 EQZ262169:ERX262169 EHD262169:EIB262169 DXH262169:DYF262169 DNL262169:DOJ262169 DDP262169:DEN262169 CTT262169:CUR262169 CJX262169:CKV262169 CAB262169:CAZ262169 BQF262169:BRD262169 BGJ262169:BHH262169 AWN262169:AXL262169 AMR262169:ANP262169 ACV262169:ADT262169 SZ262169:TX262169 JD262169:KB262169 H262169:AF262169 WVP196633:WWN196633 WLT196633:WMR196633 WBX196633:WCV196633 VSB196633:VSZ196633 VIF196633:VJD196633 UYJ196633:UZH196633 UON196633:UPL196633 UER196633:UFP196633 TUV196633:TVT196633 TKZ196633:TLX196633 TBD196633:TCB196633 SRH196633:SSF196633 SHL196633:SIJ196633 RXP196633:RYN196633 RNT196633:ROR196633 RDX196633:REV196633 QUB196633:QUZ196633 QKF196633:QLD196633 QAJ196633:QBH196633 PQN196633:PRL196633 PGR196633:PHP196633 OWV196633:OXT196633 OMZ196633:ONX196633 ODD196633:OEB196633 NTH196633:NUF196633 NJL196633:NKJ196633 MZP196633:NAN196633 MPT196633:MQR196633 MFX196633:MGV196633 LWB196633:LWZ196633 LMF196633:LND196633 LCJ196633:LDH196633 KSN196633:KTL196633 KIR196633:KJP196633 JYV196633:JZT196633 JOZ196633:JPX196633 JFD196633:JGB196633 IVH196633:IWF196633 ILL196633:IMJ196633 IBP196633:ICN196633 HRT196633:HSR196633 HHX196633:HIV196633 GYB196633:GYZ196633 GOF196633:GPD196633 GEJ196633:GFH196633 FUN196633:FVL196633 FKR196633:FLP196633 FAV196633:FBT196633 EQZ196633:ERX196633 EHD196633:EIB196633 DXH196633:DYF196633 DNL196633:DOJ196633 DDP196633:DEN196633 CTT196633:CUR196633 CJX196633:CKV196633 CAB196633:CAZ196633 BQF196633:BRD196633 BGJ196633:BHH196633 AWN196633:AXL196633 AMR196633:ANP196633 ACV196633:ADT196633 SZ196633:TX196633 JD196633:KB196633 H196633:AF196633 WVP131097:WWN131097 WLT131097:WMR131097 WBX131097:WCV131097 VSB131097:VSZ131097 VIF131097:VJD131097 UYJ131097:UZH131097 UON131097:UPL131097 UER131097:UFP131097 TUV131097:TVT131097 TKZ131097:TLX131097 TBD131097:TCB131097 SRH131097:SSF131097 SHL131097:SIJ131097 RXP131097:RYN131097 RNT131097:ROR131097 RDX131097:REV131097 QUB131097:QUZ131097 QKF131097:QLD131097 QAJ131097:QBH131097 PQN131097:PRL131097 PGR131097:PHP131097 OWV131097:OXT131097 OMZ131097:ONX131097 ODD131097:OEB131097 NTH131097:NUF131097 NJL131097:NKJ131097 MZP131097:NAN131097 MPT131097:MQR131097 MFX131097:MGV131097 LWB131097:LWZ131097 LMF131097:LND131097 LCJ131097:LDH131097 KSN131097:KTL131097 KIR131097:KJP131097 JYV131097:JZT131097 JOZ131097:JPX131097 JFD131097:JGB131097 IVH131097:IWF131097 ILL131097:IMJ131097 IBP131097:ICN131097 HRT131097:HSR131097 HHX131097:HIV131097 GYB131097:GYZ131097 GOF131097:GPD131097 GEJ131097:GFH131097 FUN131097:FVL131097 FKR131097:FLP131097 FAV131097:FBT131097 EQZ131097:ERX131097 EHD131097:EIB131097 DXH131097:DYF131097 DNL131097:DOJ131097 DDP131097:DEN131097 CTT131097:CUR131097 CJX131097:CKV131097 CAB131097:CAZ131097 BQF131097:BRD131097 BGJ131097:BHH131097 AWN131097:AXL131097 AMR131097:ANP131097 ACV131097:ADT131097 SZ131097:TX131097 JD131097:KB131097 H131097:AF131097 WVP65561:WWN65561 WLT65561:WMR65561 WBX65561:WCV65561 VSB65561:VSZ65561 VIF65561:VJD65561 UYJ65561:UZH65561 UON65561:UPL65561 UER65561:UFP65561 TUV65561:TVT65561 TKZ65561:TLX65561 TBD65561:TCB65561 SRH65561:SSF65561 SHL65561:SIJ65561 RXP65561:RYN65561 RNT65561:ROR65561 RDX65561:REV65561 QUB65561:QUZ65561 QKF65561:QLD65561 QAJ65561:QBH65561 PQN65561:PRL65561 PGR65561:PHP65561 OWV65561:OXT65561 OMZ65561:ONX65561 ODD65561:OEB65561 NTH65561:NUF65561 NJL65561:NKJ65561 MZP65561:NAN65561 MPT65561:MQR65561 MFX65561:MGV65561 LWB65561:LWZ65561 LMF65561:LND65561 LCJ65561:LDH65561 KSN65561:KTL65561 KIR65561:KJP65561 JYV65561:JZT65561 JOZ65561:JPX65561 JFD65561:JGB65561 IVH65561:IWF65561 ILL65561:IMJ65561 IBP65561:ICN65561 HRT65561:HSR65561 HHX65561:HIV65561 GYB65561:GYZ65561 GOF65561:GPD65561 GEJ65561:GFH65561 FUN65561:FVL65561 FKR65561:FLP65561 FAV65561:FBT65561 EQZ65561:ERX65561 EHD65561:EIB65561 DXH65561:DYF65561 DNL65561:DOJ65561 DDP65561:DEN65561 CTT65561:CUR65561 CJX65561:CKV65561 CAB65561:CAZ65561 BQF65561:BRD65561 BGJ65561:BHH65561 AWN65561:AXL65561 AMR65561:ANP65561 ACV65561:ADT65561 SZ65561:TX65561 JD65561:KB65561 H65561:AF65561 WVP25:WWN25 WLT25:WMR25 WBX25:WCV25 VSB25:VSZ25 VIF25:VJD25 UYJ25:UZH25 UON25:UPL25 UER25:UFP25 TUV25:TVT25 TKZ25:TLX25 TBD25:TCB25 SRH25:SSF25 SHL25:SIJ25 RXP25:RYN25 RNT25:ROR25 RDX25:REV25 QUB25:QUZ25 QKF25:QLD25 QAJ25:QBH25 PQN25:PRL25 PGR25:PHP25 OWV25:OXT25 OMZ25:ONX25 ODD25:OEB25 NTH25:NUF25 NJL25:NKJ25 MZP25:NAN25 MPT25:MQR25 MFX25:MGV25 LWB25:LWZ25 LMF25:LND25 LCJ25:LDH25 KSN25:KTL25 KIR25:KJP25 JYV25:JZT25 JOZ25:JPX25 JFD25:JGB25 IVH25:IWF25 ILL25:IMJ25 IBP25:ICN25 HRT25:HSR25 HHX25:HIV25 GYB25:GYZ25 GOF25:GPD25 GEJ25:GFH25 FUN25:FVL25 FKR25:FLP25 FAV25:FBT25 EQZ25:ERX25 EHD25:EIB25 DXH25:DYF25 DNL25:DOJ25 DDP25:DEN25 CTT25:CUR25 CJX25:CKV25 CAB25:CAZ25 BQF25:BRD25 BGJ25:BHH25 AWN25:AXL25 AMR25:ANP25 ACV25:ADT25 SZ25:TX25 H25:AF25">
      <formula1>"OK,NG,NA,PT"</formula1>
      <formula2>0</formula2>
    </dataValidation>
    <dataValidation type="list" allowBlank="1" showErrorMessage="1" sqref="JD22:KB22 WVP983062:WWN983062 WLT983062:WMR983062 WBX983062:WCV983062 VSB983062:VSZ983062 VIF983062:VJD983062 UYJ983062:UZH983062 UON983062:UPL983062 UER983062:UFP983062 TUV983062:TVT983062 TKZ983062:TLX983062 TBD983062:TCB983062 SRH983062:SSF983062 SHL983062:SIJ983062 RXP983062:RYN983062 RNT983062:ROR983062 RDX983062:REV983062 QUB983062:QUZ983062 QKF983062:QLD983062 QAJ983062:QBH983062 PQN983062:PRL983062 PGR983062:PHP983062 OWV983062:OXT983062 OMZ983062:ONX983062 ODD983062:OEB983062 NTH983062:NUF983062 NJL983062:NKJ983062 MZP983062:NAN983062 MPT983062:MQR983062 MFX983062:MGV983062 LWB983062:LWZ983062 LMF983062:LND983062 LCJ983062:LDH983062 KSN983062:KTL983062 KIR983062:KJP983062 JYV983062:JZT983062 JOZ983062:JPX983062 JFD983062:JGB983062 IVH983062:IWF983062 ILL983062:IMJ983062 IBP983062:ICN983062 HRT983062:HSR983062 HHX983062:HIV983062 GYB983062:GYZ983062 GOF983062:GPD983062 GEJ983062:GFH983062 FUN983062:FVL983062 FKR983062:FLP983062 FAV983062:FBT983062 EQZ983062:ERX983062 EHD983062:EIB983062 DXH983062:DYF983062 DNL983062:DOJ983062 DDP983062:DEN983062 CTT983062:CUR983062 CJX983062:CKV983062 CAB983062:CAZ983062 BQF983062:BRD983062 BGJ983062:BHH983062 AWN983062:AXL983062 AMR983062:ANP983062 ACV983062:ADT983062 SZ983062:TX983062 JD983062:KB983062 H983062:AF983062 WVP917526:WWN917526 WLT917526:WMR917526 WBX917526:WCV917526 VSB917526:VSZ917526 VIF917526:VJD917526 UYJ917526:UZH917526 UON917526:UPL917526 UER917526:UFP917526 TUV917526:TVT917526 TKZ917526:TLX917526 TBD917526:TCB917526 SRH917526:SSF917526 SHL917526:SIJ917526 RXP917526:RYN917526 RNT917526:ROR917526 RDX917526:REV917526 QUB917526:QUZ917526 QKF917526:QLD917526 QAJ917526:QBH917526 PQN917526:PRL917526 PGR917526:PHP917526 OWV917526:OXT917526 OMZ917526:ONX917526 ODD917526:OEB917526 NTH917526:NUF917526 NJL917526:NKJ917526 MZP917526:NAN917526 MPT917526:MQR917526 MFX917526:MGV917526 LWB917526:LWZ917526 LMF917526:LND917526 LCJ917526:LDH917526 KSN917526:KTL917526 KIR917526:KJP917526 JYV917526:JZT917526 JOZ917526:JPX917526 JFD917526:JGB917526 IVH917526:IWF917526 ILL917526:IMJ917526 IBP917526:ICN917526 HRT917526:HSR917526 HHX917526:HIV917526 GYB917526:GYZ917526 GOF917526:GPD917526 GEJ917526:GFH917526 FUN917526:FVL917526 FKR917526:FLP917526 FAV917526:FBT917526 EQZ917526:ERX917526 EHD917526:EIB917526 DXH917526:DYF917526 DNL917526:DOJ917526 DDP917526:DEN917526 CTT917526:CUR917526 CJX917526:CKV917526 CAB917526:CAZ917526 BQF917526:BRD917526 BGJ917526:BHH917526 AWN917526:AXL917526 AMR917526:ANP917526 ACV917526:ADT917526 SZ917526:TX917526 JD917526:KB917526 H917526:AF917526 WVP851990:WWN851990 WLT851990:WMR851990 WBX851990:WCV851990 VSB851990:VSZ851990 VIF851990:VJD851990 UYJ851990:UZH851990 UON851990:UPL851990 UER851990:UFP851990 TUV851990:TVT851990 TKZ851990:TLX851990 TBD851990:TCB851990 SRH851990:SSF851990 SHL851990:SIJ851990 RXP851990:RYN851990 RNT851990:ROR851990 RDX851990:REV851990 QUB851990:QUZ851990 QKF851990:QLD851990 QAJ851990:QBH851990 PQN851990:PRL851990 PGR851990:PHP851990 OWV851990:OXT851990 OMZ851990:ONX851990 ODD851990:OEB851990 NTH851990:NUF851990 NJL851990:NKJ851990 MZP851990:NAN851990 MPT851990:MQR851990 MFX851990:MGV851990 LWB851990:LWZ851990 LMF851990:LND851990 LCJ851990:LDH851990 KSN851990:KTL851990 KIR851990:KJP851990 JYV851990:JZT851990 JOZ851990:JPX851990 JFD851990:JGB851990 IVH851990:IWF851990 ILL851990:IMJ851990 IBP851990:ICN851990 HRT851990:HSR851990 HHX851990:HIV851990 GYB851990:GYZ851990 GOF851990:GPD851990 GEJ851990:GFH851990 FUN851990:FVL851990 FKR851990:FLP851990 FAV851990:FBT851990 EQZ851990:ERX851990 EHD851990:EIB851990 DXH851990:DYF851990 DNL851990:DOJ851990 DDP851990:DEN851990 CTT851990:CUR851990 CJX851990:CKV851990 CAB851990:CAZ851990 BQF851990:BRD851990 BGJ851990:BHH851990 AWN851990:AXL851990 AMR851990:ANP851990 ACV851990:ADT851990 SZ851990:TX851990 JD851990:KB851990 H851990:AF851990 WVP786454:WWN786454 WLT786454:WMR786454 WBX786454:WCV786454 VSB786454:VSZ786454 VIF786454:VJD786454 UYJ786454:UZH786454 UON786454:UPL786454 UER786454:UFP786454 TUV786454:TVT786454 TKZ786454:TLX786454 TBD786454:TCB786454 SRH786454:SSF786454 SHL786454:SIJ786454 RXP786454:RYN786454 RNT786454:ROR786454 RDX786454:REV786454 QUB786454:QUZ786454 QKF786454:QLD786454 QAJ786454:QBH786454 PQN786454:PRL786454 PGR786454:PHP786454 OWV786454:OXT786454 OMZ786454:ONX786454 ODD786454:OEB786454 NTH786454:NUF786454 NJL786454:NKJ786454 MZP786454:NAN786454 MPT786454:MQR786454 MFX786454:MGV786454 LWB786454:LWZ786454 LMF786454:LND786454 LCJ786454:LDH786454 KSN786454:KTL786454 KIR786454:KJP786454 JYV786454:JZT786454 JOZ786454:JPX786454 JFD786454:JGB786454 IVH786454:IWF786454 ILL786454:IMJ786454 IBP786454:ICN786454 HRT786454:HSR786454 HHX786454:HIV786454 GYB786454:GYZ786454 GOF786454:GPD786454 GEJ786454:GFH786454 FUN786454:FVL786454 FKR786454:FLP786454 FAV786454:FBT786454 EQZ786454:ERX786454 EHD786454:EIB786454 DXH786454:DYF786454 DNL786454:DOJ786454 DDP786454:DEN786454 CTT786454:CUR786454 CJX786454:CKV786454 CAB786454:CAZ786454 BQF786454:BRD786454 BGJ786454:BHH786454 AWN786454:AXL786454 AMR786454:ANP786454 ACV786454:ADT786454 SZ786454:TX786454 JD786454:KB786454 H786454:AF786454 WVP720918:WWN720918 WLT720918:WMR720918 WBX720918:WCV720918 VSB720918:VSZ720918 VIF720918:VJD720918 UYJ720918:UZH720918 UON720918:UPL720918 UER720918:UFP720918 TUV720918:TVT720918 TKZ720918:TLX720918 TBD720918:TCB720918 SRH720918:SSF720918 SHL720918:SIJ720918 RXP720918:RYN720918 RNT720918:ROR720918 RDX720918:REV720918 QUB720918:QUZ720918 QKF720918:QLD720918 QAJ720918:QBH720918 PQN720918:PRL720918 PGR720918:PHP720918 OWV720918:OXT720918 OMZ720918:ONX720918 ODD720918:OEB720918 NTH720918:NUF720918 NJL720918:NKJ720918 MZP720918:NAN720918 MPT720918:MQR720918 MFX720918:MGV720918 LWB720918:LWZ720918 LMF720918:LND720918 LCJ720918:LDH720918 KSN720918:KTL720918 KIR720918:KJP720918 JYV720918:JZT720918 JOZ720918:JPX720918 JFD720918:JGB720918 IVH720918:IWF720918 ILL720918:IMJ720918 IBP720918:ICN720918 HRT720918:HSR720918 HHX720918:HIV720918 GYB720918:GYZ720918 GOF720918:GPD720918 GEJ720918:GFH720918 FUN720918:FVL720918 FKR720918:FLP720918 FAV720918:FBT720918 EQZ720918:ERX720918 EHD720918:EIB720918 DXH720918:DYF720918 DNL720918:DOJ720918 DDP720918:DEN720918 CTT720918:CUR720918 CJX720918:CKV720918 CAB720918:CAZ720918 BQF720918:BRD720918 BGJ720918:BHH720918 AWN720918:AXL720918 AMR720918:ANP720918 ACV720918:ADT720918 SZ720918:TX720918 JD720918:KB720918 H720918:AF720918 WVP655382:WWN655382 WLT655382:WMR655382 WBX655382:WCV655382 VSB655382:VSZ655382 VIF655382:VJD655382 UYJ655382:UZH655382 UON655382:UPL655382 UER655382:UFP655382 TUV655382:TVT655382 TKZ655382:TLX655382 TBD655382:TCB655382 SRH655382:SSF655382 SHL655382:SIJ655382 RXP655382:RYN655382 RNT655382:ROR655382 RDX655382:REV655382 QUB655382:QUZ655382 QKF655382:QLD655382 QAJ655382:QBH655382 PQN655382:PRL655382 PGR655382:PHP655382 OWV655382:OXT655382 OMZ655382:ONX655382 ODD655382:OEB655382 NTH655382:NUF655382 NJL655382:NKJ655382 MZP655382:NAN655382 MPT655382:MQR655382 MFX655382:MGV655382 LWB655382:LWZ655382 LMF655382:LND655382 LCJ655382:LDH655382 KSN655382:KTL655382 KIR655382:KJP655382 JYV655382:JZT655382 JOZ655382:JPX655382 JFD655382:JGB655382 IVH655382:IWF655382 ILL655382:IMJ655382 IBP655382:ICN655382 HRT655382:HSR655382 HHX655382:HIV655382 GYB655382:GYZ655382 GOF655382:GPD655382 GEJ655382:GFH655382 FUN655382:FVL655382 FKR655382:FLP655382 FAV655382:FBT655382 EQZ655382:ERX655382 EHD655382:EIB655382 DXH655382:DYF655382 DNL655382:DOJ655382 DDP655382:DEN655382 CTT655382:CUR655382 CJX655382:CKV655382 CAB655382:CAZ655382 BQF655382:BRD655382 BGJ655382:BHH655382 AWN655382:AXL655382 AMR655382:ANP655382 ACV655382:ADT655382 SZ655382:TX655382 JD655382:KB655382 H655382:AF655382 WVP589846:WWN589846 WLT589846:WMR589846 WBX589846:WCV589846 VSB589846:VSZ589846 VIF589846:VJD589846 UYJ589846:UZH589846 UON589846:UPL589846 UER589846:UFP589846 TUV589846:TVT589846 TKZ589846:TLX589846 TBD589846:TCB589846 SRH589846:SSF589846 SHL589846:SIJ589846 RXP589846:RYN589846 RNT589846:ROR589846 RDX589846:REV589846 QUB589846:QUZ589846 QKF589846:QLD589846 QAJ589846:QBH589846 PQN589846:PRL589846 PGR589846:PHP589846 OWV589846:OXT589846 OMZ589846:ONX589846 ODD589846:OEB589846 NTH589846:NUF589846 NJL589846:NKJ589846 MZP589846:NAN589846 MPT589846:MQR589846 MFX589846:MGV589846 LWB589846:LWZ589846 LMF589846:LND589846 LCJ589846:LDH589846 KSN589846:KTL589846 KIR589846:KJP589846 JYV589846:JZT589846 JOZ589846:JPX589846 JFD589846:JGB589846 IVH589846:IWF589846 ILL589846:IMJ589846 IBP589846:ICN589846 HRT589846:HSR589846 HHX589846:HIV589846 GYB589846:GYZ589846 GOF589846:GPD589846 GEJ589846:GFH589846 FUN589846:FVL589846 FKR589846:FLP589846 FAV589846:FBT589846 EQZ589846:ERX589846 EHD589846:EIB589846 DXH589846:DYF589846 DNL589846:DOJ589846 DDP589846:DEN589846 CTT589846:CUR589846 CJX589846:CKV589846 CAB589846:CAZ589846 BQF589846:BRD589846 BGJ589846:BHH589846 AWN589846:AXL589846 AMR589846:ANP589846 ACV589846:ADT589846 SZ589846:TX589846 JD589846:KB589846 H589846:AF589846 WVP524310:WWN524310 WLT524310:WMR524310 WBX524310:WCV524310 VSB524310:VSZ524310 VIF524310:VJD524310 UYJ524310:UZH524310 UON524310:UPL524310 UER524310:UFP524310 TUV524310:TVT524310 TKZ524310:TLX524310 TBD524310:TCB524310 SRH524310:SSF524310 SHL524310:SIJ524310 RXP524310:RYN524310 RNT524310:ROR524310 RDX524310:REV524310 QUB524310:QUZ524310 QKF524310:QLD524310 QAJ524310:QBH524310 PQN524310:PRL524310 PGR524310:PHP524310 OWV524310:OXT524310 OMZ524310:ONX524310 ODD524310:OEB524310 NTH524310:NUF524310 NJL524310:NKJ524310 MZP524310:NAN524310 MPT524310:MQR524310 MFX524310:MGV524310 LWB524310:LWZ524310 LMF524310:LND524310 LCJ524310:LDH524310 KSN524310:KTL524310 KIR524310:KJP524310 JYV524310:JZT524310 JOZ524310:JPX524310 JFD524310:JGB524310 IVH524310:IWF524310 ILL524310:IMJ524310 IBP524310:ICN524310 HRT524310:HSR524310 HHX524310:HIV524310 GYB524310:GYZ524310 GOF524310:GPD524310 GEJ524310:GFH524310 FUN524310:FVL524310 FKR524310:FLP524310 FAV524310:FBT524310 EQZ524310:ERX524310 EHD524310:EIB524310 DXH524310:DYF524310 DNL524310:DOJ524310 DDP524310:DEN524310 CTT524310:CUR524310 CJX524310:CKV524310 CAB524310:CAZ524310 BQF524310:BRD524310 BGJ524310:BHH524310 AWN524310:AXL524310 AMR524310:ANP524310 ACV524310:ADT524310 SZ524310:TX524310 JD524310:KB524310 H524310:AF524310 WVP458774:WWN458774 WLT458774:WMR458774 WBX458774:WCV458774 VSB458774:VSZ458774 VIF458774:VJD458774 UYJ458774:UZH458774 UON458774:UPL458774 UER458774:UFP458774 TUV458774:TVT458774 TKZ458774:TLX458774 TBD458774:TCB458774 SRH458774:SSF458774 SHL458774:SIJ458774 RXP458774:RYN458774 RNT458774:ROR458774 RDX458774:REV458774 QUB458774:QUZ458774 QKF458774:QLD458774 QAJ458774:QBH458774 PQN458774:PRL458774 PGR458774:PHP458774 OWV458774:OXT458774 OMZ458774:ONX458774 ODD458774:OEB458774 NTH458774:NUF458774 NJL458774:NKJ458774 MZP458774:NAN458774 MPT458774:MQR458774 MFX458774:MGV458774 LWB458774:LWZ458774 LMF458774:LND458774 LCJ458774:LDH458774 KSN458774:KTL458774 KIR458774:KJP458774 JYV458774:JZT458774 JOZ458774:JPX458774 JFD458774:JGB458774 IVH458774:IWF458774 ILL458774:IMJ458774 IBP458774:ICN458774 HRT458774:HSR458774 HHX458774:HIV458774 GYB458774:GYZ458774 GOF458774:GPD458774 GEJ458774:GFH458774 FUN458774:FVL458774 FKR458774:FLP458774 FAV458774:FBT458774 EQZ458774:ERX458774 EHD458774:EIB458774 DXH458774:DYF458774 DNL458774:DOJ458774 DDP458774:DEN458774 CTT458774:CUR458774 CJX458774:CKV458774 CAB458774:CAZ458774 BQF458774:BRD458774 BGJ458774:BHH458774 AWN458774:AXL458774 AMR458774:ANP458774 ACV458774:ADT458774 SZ458774:TX458774 JD458774:KB458774 H458774:AF458774 WVP393238:WWN393238 WLT393238:WMR393238 WBX393238:WCV393238 VSB393238:VSZ393238 VIF393238:VJD393238 UYJ393238:UZH393238 UON393238:UPL393238 UER393238:UFP393238 TUV393238:TVT393238 TKZ393238:TLX393238 TBD393238:TCB393238 SRH393238:SSF393238 SHL393238:SIJ393238 RXP393238:RYN393238 RNT393238:ROR393238 RDX393238:REV393238 QUB393238:QUZ393238 QKF393238:QLD393238 QAJ393238:QBH393238 PQN393238:PRL393238 PGR393238:PHP393238 OWV393238:OXT393238 OMZ393238:ONX393238 ODD393238:OEB393238 NTH393238:NUF393238 NJL393238:NKJ393238 MZP393238:NAN393238 MPT393238:MQR393238 MFX393238:MGV393238 LWB393238:LWZ393238 LMF393238:LND393238 LCJ393238:LDH393238 KSN393238:KTL393238 KIR393238:KJP393238 JYV393238:JZT393238 JOZ393238:JPX393238 JFD393238:JGB393238 IVH393238:IWF393238 ILL393238:IMJ393238 IBP393238:ICN393238 HRT393238:HSR393238 HHX393238:HIV393238 GYB393238:GYZ393238 GOF393238:GPD393238 GEJ393238:GFH393238 FUN393238:FVL393238 FKR393238:FLP393238 FAV393238:FBT393238 EQZ393238:ERX393238 EHD393238:EIB393238 DXH393238:DYF393238 DNL393238:DOJ393238 DDP393238:DEN393238 CTT393238:CUR393238 CJX393238:CKV393238 CAB393238:CAZ393238 BQF393238:BRD393238 BGJ393238:BHH393238 AWN393238:AXL393238 AMR393238:ANP393238 ACV393238:ADT393238 SZ393238:TX393238 JD393238:KB393238 H393238:AF393238 WVP327702:WWN327702 WLT327702:WMR327702 WBX327702:WCV327702 VSB327702:VSZ327702 VIF327702:VJD327702 UYJ327702:UZH327702 UON327702:UPL327702 UER327702:UFP327702 TUV327702:TVT327702 TKZ327702:TLX327702 TBD327702:TCB327702 SRH327702:SSF327702 SHL327702:SIJ327702 RXP327702:RYN327702 RNT327702:ROR327702 RDX327702:REV327702 QUB327702:QUZ327702 QKF327702:QLD327702 QAJ327702:QBH327702 PQN327702:PRL327702 PGR327702:PHP327702 OWV327702:OXT327702 OMZ327702:ONX327702 ODD327702:OEB327702 NTH327702:NUF327702 NJL327702:NKJ327702 MZP327702:NAN327702 MPT327702:MQR327702 MFX327702:MGV327702 LWB327702:LWZ327702 LMF327702:LND327702 LCJ327702:LDH327702 KSN327702:KTL327702 KIR327702:KJP327702 JYV327702:JZT327702 JOZ327702:JPX327702 JFD327702:JGB327702 IVH327702:IWF327702 ILL327702:IMJ327702 IBP327702:ICN327702 HRT327702:HSR327702 HHX327702:HIV327702 GYB327702:GYZ327702 GOF327702:GPD327702 GEJ327702:GFH327702 FUN327702:FVL327702 FKR327702:FLP327702 FAV327702:FBT327702 EQZ327702:ERX327702 EHD327702:EIB327702 DXH327702:DYF327702 DNL327702:DOJ327702 DDP327702:DEN327702 CTT327702:CUR327702 CJX327702:CKV327702 CAB327702:CAZ327702 BQF327702:BRD327702 BGJ327702:BHH327702 AWN327702:AXL327702 AMR327702:ANP327702 ACV327702:ADT327702 SZ327702:TX327702 JD327702:KB327702 H327702:AF327702 WVP262166:WWN262166 WLT262166:WMR262166 WBX262166:WCV262166 VSB262166:VSZ262166 VIF262166:VJD262166 UYJ262166:UZH262166 UON262166:UPL262166 UER262166:UFP262166 TUV262166:TVT262166 TKZ262166:TLX262166 TBD262166:TCB262166 SRH262166:SSF262166 SHL262166:SIJ262166 RXP262166:RYN262166 RNT262166:ROR262166 RDX262166:REV262166 QUB262166:QUZ262166 QKF262166:QLD262166 QAJ262166:QBH262166 PQN262166:PRL262166 PGR262166:PHP262166 OWV262166:OXT262166 OMZ262166:ONX262166 ODD262166:OEB262166 NTH262166:NUF262166 NJL262166:NKJ262166 MZP262166:NAN262166 MPT262166:MQR262166 MFX262166:MGV262166 LWB262166:LWZ262166 LMF262166:LND262166 LCJ262166:LDH262166 KSN262166:KTL262166 KIR262166:KJP262166 JYV262166:JZT262166 JOZ262166:JPX262166 JFD262166:JGB262166 IVH262166:IWF262166 ILL262166:IMJ262166 IBP262166:ICN262166 HRT262166:HSR262166 HHX262166:HIV262166 GYB262166:GYZ262166 GOF262166:GPD262166 GEJ262166:GFH262166 FUN262166:FVL262166 FKR262166:FLP262166 FAV262166:FBT262166 EQZ262166:ERX262166 EHD262166:EIB262166 DXH262166:DYF262166 DNL262166:DOJ262166 DDP262166:DEN262166 CTT262166:CUR262166 CJX262166:CKV262166 CAB262166:CAZ262166 BQF262166:BRD262166 BGJ262166:BHH262166 AWN262166:AXL262166 AMR262166:ANP262166 ACV262166:ADT262166 SZ262166:TX262166 JD262166:KB262166 H262166:AF262166 WVP196630:WWN196630 WLT196630:WMR196630 WBX196630:WCV196630 VSB196630:VSZ196630 VIF196630:VJD196630 UYJ196630:UZH196630 UON196630:UPL196630 UER196630:UFP196630 TUV196630:TVT196630 TKZ196630:TLX196630 TBD196630:TCB196630 SRH196630:SSF196630 SHL196630:SIJ196630 RXP196630:RYN196630 RNT196630:ROR196630 RDX196630:REV196630 QUB196630:QUZ196630 QKF196630:QLD196630 QAJ196630:QBH196630 PQN196630:PRL196630 PGR196630:PHP196630 OWV196630:OXT196630 OMZ196630:ONX196630 ODD196630:OEB196630 NTH196630:NUF196630 NJL196630:NKJ196630 MZP196630:NAN196630 MPT196630:MQR196630 MFX196630:MGV196630 LWB196630:LWZ196630 LMF196630:LND196630 LCJ196630:LDH196630 KSN196630:KTL196630 KIR196630:KJP196630 JYV196630:JZT196630 JOZ196630:JPX196630 JFD196630:JGB196630 IVH196630:IWF196630 ILL196630:IMJ196630 IBP196630:ICN196630 HRT196630:HSR196630 HHX196630:HIV196630 GYB196630:GYZ196630 GOF196630:GPD196630 GEJ196630:GFH196630 FUN196630:FVL196630 FKR196630:FLP196630 FAV196630:FBT196630 EQZ196630:ERX196630 EHD196630:EIB196630 DXH196630:DYF196630 DNL196630:DOJ196630 DDP196630:DEN196630 CTT196630:CUR196630 CJX196630:CKV196630 CAB196630:CAZ196630 BQF196630:BRD196630 BGJ196630:BHH196630 AWN196630:AXL196630 AMR196630:ANP196630 ACV196630:ADT196630 SZ196630:TX196630 JD196630:KB196630 H196630:AF196630 WVP131094:WWN131094 WLT131094:WMR131094 WBX131094:WCV131094 VSB131094:VSZ131094 VIF131094:VJD131094 UYJ131094:UZH131094 UON131094:UPL131094 UER131094:UFP131094 TUV131094:TVT131094 TKZ131094:TLX131094 TBD131094:TCB131094 SRH131094:SSF131094 SHL131094:SIJ131094 RXP131094:RYN131094 RNT131094:ROR131094 RDX131094:REV131094 QUB131094:QUZ131094 QKF131094:QLD131094 QAJ131094:QBH131094 PQN131094:PRL131094 PGR131094:PHP131094 OWV131094:OXT131094 OMZ131094:ONX131094 ODD131094:OEB131094 NTH131094:NUF131094 NJL131094:NKJ131094 MZP131094:NAN131094 MPT131094:MQR131094 MFX131094:MGV131094 LWB131094:LWZ131094 LMF131094:LND131094 LCJ131094:LDH131094 KSN131094:KTL131094 KIR131094:KJP131094 JYV131094:JZT131094 JOZ131094:JPX131094 JFD131094:JGB131094 IVH131094:IWF131094 ILL131094:IMJ131094 IBP131094:ICN131094 HRT131094:HSR131094 HHX131094:HIV131094 GYB131094:GYZ131094 GOF131094:GPD131094 GEJ131094:GFH131094 FUN131094:FVL131094 FKR131094:FLP131094 FAV131094:FBT131094 EQZ131094:ERX131094 EHD131094:EIB131094 DXH131094:DYF131094 DNL131094:DOJ131094 DDP131094:DEN131094 CTT131094:CUR131094 CJX131094:CKV131094 CAB131094:CAZ131094 BQF131094:BRD131094 BGJ131094:BHH131094 AWN131094:AXL131094 AMR131094:ANP131094 ACV131094:ADT131094 SZ131094:TX131094 JD131094:KB131094 H131094:AF131094 WVP65558:WWN65558 WLT65558:WMR65558 WBX65558:WCV65558 VSB65558:VSZ65558 VIF65558:VJD65558 UYJ65558:UZH65558 UON65558:UPL65558 UER65558:UFP65558 TUV65558:TVT65558 TKZ65558:TLX65558 TBD65558:TCB65558 SRH65558:SSF65558 SHL65558:SIJ65558 RXP65558:RYN65558 RNT65558:ROR65558 RDX65558:REV65558 QUB65558:QUZ65558 QKF65558:QLD65558 QAJ65558:QBH65558 PQN65558:PRL65558 PGR65558:PHP65558 OWV65558:OXT65558 OMZ65558:ONX65558 ODD65558:OEB65558 NTH65558:NUF65558 NJL65558:NKJ65558 MZP65558:NAN65558 MPT65558:MQR65558 MFX65558:MGV65558 LWB65558:LWZ65558 LMF65558:LND65558 LCJ65558:LDH65558 KSN65558:KTL65558 KIR65558:KJP65558 JYV65558:JZT65558 JOZ65558:JPX65558 JFD65558:JGB65558 IVH65558:IWF65558 ILL65558:IMJ65558 IBP65558:ICN65558 HRT65558:HSR65558 HHX65558:HIV65558 GYB65558:GYZ65558 GOF65558:GPD65558 GEJ65558:GFH65558 FUN65558:FVL65558 FKR65558:FLP65558 FAV65558:FBT65558 EQZ65558:ERX65558 EHD65558:EIB65558 DXH65558:DYF65558 DNL65558:DOJ65558 DDP65558:DEN65558 CTT65558:CUR65558 CJX65558:CKV65558 CAB65558:CAZ65558 BQF65558:BRD65558 BGJ65558:BHH65558 AWN65558:AXL65558 AMR65558:ANP65558 ACV65558:ADT65558 SZ65558:TX65558 JD65558:KB65558 H65558:AF65558 WVP22:WWN22 WLT22:WMR22 WBX22:WCV22 VSB22:VSZ22 VIF22:VJD22 UYJ22:UZH22 UON22:UPL22 UER22:UFP22 TUV22:TVT22 TKZ22:TLX22 TBD22:TCB22 SRH22:SSF22 SHL22:SIJ22 RXP22:RYN22 RNT22:ROR22 RDX22:REV22 QUB22:QUZ22 QKF22:QLD22 QAJ22:QBH22 PQN22:PRL22 PGR22:PHP22 OWV22:OXT22 OMZ22:ONX22 ODD22:OEB22 NTH22:NUF22 NJL22:NKJ22 MZP22:NAN22 MPT22:MQR22 MFX22:MGV22 LWB22:LWZ22 LMF22:LND22 LCJ22:LDH22 KSN22:KTL22 KIR22:KJP22 JYV22:JZT22 JOZ22:JPX22 JFD22:JGB22 IVH22:IWF22 ILL22:IMJ22 IBP22:ICN22 HRT22:HSR22 HHX22:HIV22 GYB22:GYZ22 GOF22:GPD22 GEJ22:GFH22 FUN22:FVL22 FKR22:FLP22 FAV22:FBT22 EQZ22:ERX22 EHD22:EIB22 DXH22:DYF22 DNL22:DOJ22 DDP22:DEN22 CTT22:CUR22 CJX22:CKV22 CAB22:CAZ22 BQF22:BRD22 BGJ22:BHH22 AWN22:AXL22 AMR22:ANP22 ACV22:ADT22 SZ22:TX22 H22:AF22">
      <formula1>"N,A,B"</formula1>
      <formula2>0</formula2>
    </dataValidation>
    <dataValidation allowBlank="1" showInputMessage="1" showErrorMessage="1" promptTitle="Condition Type" prompt="N : Normal _x000a_A : Abnormal _x000a_B : Boundary" sqref="G22 WVO983062 WLS983062 WBW983062 VSA983062 VIE983062 UYI983062 UOM983062 UEQ983062 TUU983062 TKY983062 TBC983062 SRG983062 SHK983062 RXO983062 RNS983062 RDW983062 QUA983062 QKE983062 QAI983062 PQM983062 PGQ983062 OWU983062 OMY983062 ODC983062 NTG983062 NJK983062 MZO983062 MPS983062 MFW983062 LWA983062 LME983062 LCI983062 KSM983062 KIQ983062 JYU983062 JOY983062 JFC983062 IVG983062 ILK983062 IBO983062 HRS983062 HHW983062 GYA983062 GOE983062 GEI983062 FUM983062 FKQ983062 FAU983062 EQY983062 EHC983062 DXG983062 DNK983062 DDO983062 CTS983062 CJW983062 CAA983062 BQE983062 BGI983062 AWM983062 AMQ983062 ACU983062 SY983062 JC983062 G983062 WVO917526 WLS917526 WBW917526 VSA917526 VIE917526 UYI917526 UOM917526 UEQ917526 TUU917526 TKY917526 TBC917526 SRG917526 SHK917526 RXO917526 RNS917526 RDW917526 QUA917526 QKE917526 QAI917526 PQM917526 PGQ917526 OWU917526 OMY917526 ODC917526 NTG917526 NJK917526 MZO917526 MPS917526 MFW917526 LWA917526 LME917526 LCI917526 KSM917526 KIQ917526 JYU917526 JOY917526 JFC917526 IVG917526 ILK917526 IBO917526 HRS917526 HHW917526 GYA917526 GOE917526 GEI917526 FUM917526 FKQ917526 FAU917526 EQY917526 EHC917526 DXG917526 DNK917526 DDO917526 CTS917526 CJW917526 CAA917526 BQE917526 BGI917526 AWM917526 AMQ917526 ACU917526 SY917526 JC917526 G917526 WVO851990 WLS851990 WBW851990 VSA851990 VIE851990 UYI851990 UOM851990 UEQ851990 TUU851990 TKY851990 TBC851990 SRG851990 SHK851990 RXO851990 RNS851990 RDW851990 QUA851990 QKE851990 QAI851990 PQM851990 PGQ851990 OWU851990 OMY851990 ODC851990 NTG851990 NJK851990 MZO851990 MPS851990 MFW851990 LWA851990 LME851990 LCI851990 KSM851990 KIQ851990 JYU851990 JOY851990 JFC851990 IVG851990 ILK851990 IBO851990 HRS851990 HHW851990 GYA851990 GOE851990 GEI851990 FUM851990 FKQ851990 FAU851990 EQY851990 EHC851990 DXG851990 DNK851990 DDO851990 CTS851990 CJW851990 CAA851990 BQE851990 BGI851990 AWM851990 AMQ851990 ACU851990 SY851990 JC851990 G851990 WVO786454 WLS786454 WBW786454 VSA786454 VIE786454 UYI786454 UOM786454 UEQ786454 TUU786454 TKY786454 TBC786454 SRG786454 SHK786454 RXO786454 RNS786454 RDW786454 QUA786454 QKE786454 QAI786454 PQM786454 PGQ786454 OWU786454 OMY786454 ODC786454 NTG786454 NJK786454 MZO786454 MPS786454 MFW786454 LWA786454 LME786454 LCI786454 KSM786454 KIQ786454 JYU786454 JOY786454 JFC786454 IVG786454 ILK786454 IBO786454 HRS786454 HHW786454 GYA786454 GOE786454 GEI786454 FUM786454 FKQ786454 FAU786454 EQY786454 EHC786454 DXG786454 DNK786454 DDO786454 CTS786454 CJW786454 CAA786454 BQE786454 BGI786454 AWM786454 AMQ786454 ACU786454 SY786454 JC786454 G786454 WVO720918 WLS720918 WBW720918 VSA720918 VIE720918 UYI720918 UOM720918 UEQ720918 TUU720918 TKY720918 TBC720918 SRG720918 SHK720918 RXO720918 RNS720918 RDW720918 QUA720918 QKE720918 QAI720918 PQM720918 PGQ720918 OWU720918 OMY720918 ODC720918 NTG720918 NJK720918 MZO720918 MPS720918 MFW720918 LWA720918 LME720918 LCI720918 KSM720918 KIQ720918 JYU720918 JOY720918 JFC720918 IVG720918 ILK720918 IBO720918 HRS720918 HHW720918 GYA720918 GOE720918 GEI720918 FUM720918 FKQ720918 FAU720918 EQY720918 EHC720918 DXG720918 DNK720918 DDO720918 CTS720918 CJW720918 CAA720918 BQE720918 BGI720918 AWM720918 AMQ720918 ACU720918 SY720918 JC720918 G720918 WVO655382 WLS655382 WBW655382 VSA655382 VIE655382 UYI655382 UOM655382 UEQ655382 TUU655382 TKY655382 TBC655382 SRG655382 SHK655382 RXO655382 RNS655382 RDW655382 QUA655382 QKE655382 QAI655382 PQM655382 PGQ655382 OWU655382 OMY655382 ODC655382 NTG655382 NJK655382 MZO655382 MPS655382 MFW655382 LWA655382 LME655382 LCI655382 KSM655382 KIQ655382 JYU655382 JOY655382 JFC655382 IVG655382 ILK655382 IBO655382 HRS655382 HHW655382 GYA655382 GOE655382 GEI655382 FUM655382 FKQ655382 FAU655382 EQY655382 EHC655382 DXG655382 DNK655382 DDO655382 CTS655382 CJW655382 CAA655382 BQE655382 BGI655382 AWM655382 AMQ655382 ACU655382 SY655382 JC655382 G655382 WVO589846 WLS589846 WBW589846 VSA589846 VIE589846 UYI589846 UOM589846 UEQ589846 TUU589846 TKY589846 TBC589846 SRG589846 SHK589846 RXO589846 RNS589846 RDW589846 QUA589846 QKE589846 QAI589846 PQM589846 PGQ589846 OWU589846 OMY589846 ODC589846 NTG589846 NJK589846 MZO589846 MPS589846 MFW589846 LWA589846 LME589846 LCI589846 KSM589846 KIQ589846 JYU589846 JOY589846 JFC589846 IVG589846 ILK589846 IBO589846 HRS589846 HHW589846 GYA589846 GOE589846 GEI589846 FUM589846 FKQ589846 FAU589846 EQY589846 EHC589846 DXG589846 DNK589846 DDO589846 CTS589846 CJW589846 CAA589846 BQE589846 BGI589846 AWM589846 AMQ589846 ACU589846 SY589846 JC589846 G589846 WVO524310 WLS524310 WBW524310 VSA524310 VIE524310 UYI524310 UOM524310 UEQ524310 TUU524310 TKY524310 TBC524310 SRG524310 SHK524310 RXO524310 RNS524310 RDW524310 QUA524310 QKE524310 QAI524310 PQM524310 PGQ524310 OWU524310 OMY524310 ODC524310 NTG524310 NJK524310 MZO524310 MPS524310 MFW524310 LWA524310 LME524310 LCI524310 KSM524310 KIQ524310 JYU524310 JOY524310 JFC524310 IVG524310 ILK524310 IBO524310 HRS524310 HHW524310 GYA524310 GOE524310 GEI524310 FUM524310 FKQ524310 FAU524310 EQY524310 EHC524310 DXG524310 DNK524310 DDO524310 CTS524310 CJW524310 CAA524310 BQE524310 BGI524310 AWM524310 AMQ524310 ACU524310 SY524310 JC524310 G524310 WVO458774 WLS458774 WBW458774 VSA458774 VIE458774 UYI458774 UOM458774 UEQ458774 TUU458774 TKY458774 TBC458774 SRG458774 SHK458774 RXO458774 RNS458774 RDW458774 QUA458774 QKE458774 QAI458774 PQM458774 PGQ458774 OWU458774 OMY458774 ODC458774 NTG458774 NJK458774 MZO458774 MPS458774 MFW458774 LWA458774 LME458774 LCI458774 KSM458774 KIQ458774 JYU458774 JOY458774 JFC458774 IVG458774 ILK458774 IBO458774 HRS458774 HHW458774 GYA458774 GOE458774 GEI458774 FUM458774 FKQ458774 FAU458774 EQY458774 EHC458774 DXG458774 DNK458774 DDO458774 CTS458774 CJW458774 CAA458774 BQE458774 BGI458774 AWM458774 AMQ458774 ACU458774 SY458774 JC458774 G458774 WVO393238 WLS393238 WBW393238 VSA393238 VIE393238 UYI393238 UOM393238 UEQ393238 TUU393238 TKY393238 TBC393238 SRG393238 SHK393238 RXO393238 RNS393238 RDW393238 QUA393238 QKE393238 QAI393238 PQM393238 PGQ393238 OWU393238 OMY393238 ODC393238 NTG393238 NJK393238 MZO393238 MPS393238 MFW393238 LWA393238 LME393238 LCI393238 KSM393238 KIQ393238 JYU393238 JOY393238 JFC393238 IVG393238 ILK393238 IBO393238 HRS393238 HHW393238 GYA393238 GOE393238 GEI393238 FUM393238 FKQ393238 FAU393238 EQY393238 EHC393238 DXG393238 DNK393238 DDO393238 CTS393238 CJW393238 CAA393238 BQE393238 BGI393238 AWM393238 AMQ393238 ACU393238 SY393238 JC393238 G393238 WVO327702 WLS327702 WBW327702 VSA327702 VIE327702 UYI327702 UOM327702 UEQ327702 TUU327702 TKY327702 TBC327702 SRG327702 SHK327702 RXO327702 RNS327702 RDW327702 QUA327702 QKE327702 QAI327702 PQM327702 PGQ327702 OWU327702 OMY327702 ODC327702 NTG327702 NJK327702 MZO327702 MPS327702 MFW327702 LWA327702 LME327702 LCI327702 KSM327702 KIQ327702 JYU327702 JOY327702 JFC327702 IVG327702 ILK327702 IBO327702 HRS327702 HHW327702 GYA327702 GOE327702 GEI327702 FUM327702 FKQ327702 FAU327702 EQY327702 EHC327702 DXG327702 DNK327702 DDO327702 CTS327702 CJW327702 CAA327702 BQE327702 BGI327702 AWM327702 AMQ327702 ACU327702 SY327702 JC327702 G327702 WVO262166 WLS262166 WBW262166 VSA262166 VIE262166 UYI262166 UOM262166 UEQ262166 TUU262166 TKY262166 TBC262166 SRG262166 SHK262166 RXO262166 RNS262166 RDW262166 QUA262166 QKE262166 QAI262166 PQM262166 PGQ262166 OWU262166 OMY262166 ODC262166 NTG262166 NJK262166 MZO262166 MPS262166 MFW262166 LWA262166 LME262166 LCI262166 KSM262166 KIQ262166 JYU262166 JOY262166 JFC262166 IVG262166 ILK262166 IBO262166 HRS262166 HHW262166 GYA262166 GOE262166 GEI262166 FUM262166 FKQ262166 FAU262166 EQY262166 EHC262166 DXG262166 DNK262166 DDO262166 CTS262166 CJW262166 CAA262166 BQE262166 BGI262166 AWM262166 AMQ262166 ACU262166 SY262166 JC262166 G262166 WVO196630 WLS196630 WBW196630 VSA196630 VIE196630 UYI196630 UOM196630 UEQ196630 TUU196630 TKY196630 TBC196630 SRG196630 SHK196630 RXO196630 RNS196630 RDW196630 QUA196630 QKE196630 QAI196630 PQM196630 PGQ196630 OWU196630 OMY196630 ODC196630 NTG196630 NJK196630 MZO196630 MPS196630 MFW196630 LWA196630 LME196630 LCI196630 KSM196630 KIQ196630 JYU196630 JOY196630 JFC196630 IVG196630 ILK196630 IBO196630 HRS196630 HHW196630 GYA196630 GOE196630 GEI196630 FUM196630 FKQ196630 FAU196630 EQY196630 EHC196630 DXG196630 DNK196630 DDO196630 CTS196630 CJW196630 CAA196630 BQE196630 BGI196630 AWM196630 AMQ196630 ACU196630 SY196630 JC196630 G196630 WVO131094 WLS131094 WBW131094 VSA131094 VIE131094 UYI131094 UOM131094 UEQ131094 TUU131094 TKY131094 TBC131094 SRG131094 SHK131094 RXO131094 RNS131094 RDW131094 QUA131094 QKE131094 QAI131094 PQM131094 PGQ131094 OWU131094 OMY131094 ODC131094 NTG131094 NJK131094 MZO131094 MPS131094 MFW131094 LWA131094 LME131094 LCI131094 KSM131094 KIQ131094 JYU131094 JOY131094 JFC131094 IVG131094 ILK131094 IBO131094 HRS131094 HHW131094 GYA131094 GOE131094 GEI131094 FUM131094 FKQ131094 FAU131094 EQY131094 EHC131094 DXG131094 DNK131094 DDO131094 CTS131094 CJW131094 CAA131094 BQE131094 BGI131094 AWM131094 AMQ131094 ACU131094 SY131094 JC131094 G131094 WVO65558 WLS65558 WBW65558 VSA65558 VIE65558 UYI65558 UOM65558 UEQ65558 TUU65558 TKY65558 TBC65558 SRG65558 SHK65558 RXO65558 RNS65558 RDW65558 QUA65558 QKE65558 QAI65558 PQM65558 PGQ65558 OWU65558 OMY65558 ODC65558 NTG65558 NJK65558 MZO65558 MPS65558 MFW65558 LWA65558 LME65558 LCI65558 KSM65558 KIQ65558 JYU65558 JOY65558 JFC65558 IVG65558 ILK65558 IBO65558 HRS65558 HHW65558 GYA65558 GOE65558 GEI65558 FUM65558 FKQ65558 FAU65558 EQY65558 EHC65558 DXG65558 DNK65558 DDO65558 CTS65558 CJW65558 CAA65558 BQE65558 BGI65558 AWM65558 AMQ65558 ACU65558 SY65558 JC65558 G65558 WVO22 WLS22 WBW22 VSA22 VIE22 UYI22 UOM22 UEQ22 TUU22 TKY22 TBC22 SRG22 SHK22 RXO22 RNS22 RDW22 QUA22 QKE22 QAI22 PQM22 PGQ22 OWU22 OMY22 ODC22 NTG22 NJK22 MZO22 MPS22 MFW22 LWA22 LME22 LCI22 KSM22 KIQ22 JYU22 JOY22 JFC22 IVG22 ILK22 IBO22 HRS22 HHW22 GYA22 GOE22 GEI22 FUM22 FKQ22 FAU22 EQY22 EHC22 DXG22 DNK22 DDO22 CTS22 CJW22 CAA22 BQE22 BGI22 AWM22 AMQ22 ACU22 SY22 JC22">
      <formula1>0</formula1>
      <formula2>0</formula2>
    </dataValidation>
    <dataValidation allowBlank="1" showInputMessage="1" showErrorMessage="1" promptTitle="Enter" prompt="Name of the person who performed the test" sqref="G23 WVO983063 WLS983063 WBW983063 VSA983063 VIE983063 UYI983063 UOM983063 UEQ983063 TUU983063 TKY983063 TBC983063 SRG983063 SHK983063 RXO983063 RNS983063 RDW983063 QUA983063 QKE983063 QAI983063 PQM983063 PGQ983063 OWU983063 OMY983063 ODC983063 NTG983063 NJK983063 MZO983063 MPS983063 MFW983063 LWA983063 LME983063 LCI983063 KSM983063 KIQ983063 JYU983063 JOY983063 JFC983063 IVG983063 ILK983063 IBO983063 HRS983063 HHW983063 GYA983063 GOE983063 GEI983063 FUM983063 FKQ983063 FAU983063 EQY983063 EHC983063 DXG983063 DNK983063 DDO983063 CTS983063 CJW983063 CAA983063 BQE983063 BGI983063 AWM983063 AMQ983063 ACU983063 SY983063 JC983063 G983063 WVO917527 WLS917527 WBW917527 VSA917527 VIE917527 UYI917527 UOM917527 UEQ917527 TUU917527 TKY917527 TBC917527 SRG917527 SHK917527 RXO917527 RNS917527 RDW917527 QUA917527 QKE917527 QAI917527 PQM917527 PGQ917527 OWU917527 OMY917527 ODC917527 NTG917527 NJK917527 MZO917527 MPS917527 MFW917527 LWA917527 LME917527 LCI917527 KSM917527 KIQ917527 JYU917527 JOY917527 JFC917527 IVG917527 ILK917527 IBO917527 HRS917527 HHW917527 GYA917527 GOE917527 GEI917527 FUM917527 FKQ917527 FAU917527 EQY917527 EHC917527 DXG917527 DNK917527 DDO917527 CTS917527 CJW917527 CAA917527 BQE917527 BGI917527 AWM917527 AMQ917527 ACU917527 SY917527 JC917527 G917527 WVO851991 WLS851991 WBW851991 VSA851991 VIE851991 UYI851991 UOM851991 UEQ851991 TUU851991 TKY851991 TBC851991 SRG851991 SHK851991 RXO851991 RNS851991 RDW851991 QUA851991 QKE851991 QAI851991 PQM851991 PGQ851991 OWU851991 OMY851991 ODC851991 NTG851991 NJK851991 MZO851991 MPS851991 MFW851991 LWA851991 LME851991 LCI851991 KSM851991 KIQ851991 JYU851991 JOY851991 JFC851991 IVG851991 ILK851991 IBO851991 HRS851991 HHW851991 GYA851991 GOE851991 GEI851991 FUM851991 FKQ851991 FAU851991 EQY851991 EHC851991 DXG851991 DNK851991 DDO851991 CTS851991 CJW851991 CAA851991 BQE851991 BGI851991 AWM851991 AMQ851991 ACU851991 SY851991 JC851991 G851991 WVO786455 WLS786455 WBW786455 VSA786455 VIE786455 UYI786455 UOM786455 UEQ786455 TUU786455 TKY786455 TBC786455 SRG786455 SHK786455 RXO786455 RNS786455 RDW786455 QUA786455 QKE786455 QAI786455 PQM786455 PGQ786455 OWU786455 OMY786455 ODC786455 NTG786455 NJK786455 MZO786455 MPS786455 MFW786455 LWA786455 LME786455 LCI786455 KSM786455 KIQ786455 JYU786455 JOY786455 JFC786455 IVG786455 ILK786455 IBO786455 HRS786455 HHW786455 GYA786455 GOE786455 GEI786455 FUM786455 FKQ786455 FAU786455 EQY786455 EHC786455 DXG786455 DNK786455 DDO786455 CTS786455 CJW786455 CAA786455 BQE786455 BGI786455 AWM786455 AMQ786455 ACU786455 SY786455 JC786455 G786455 WVO720919 WLS720919 WBW720919 VSA720919 VIE720919 UYI720919 UOM720919 UEQ720919 TUU720919 TKY720919 TBC720919 SRG720919 SHK720919 RXO720919 RNS720919 RDW720919 QUA720919 QKE720919 QAI720919 PQM720919 PGQ720919 OWU720919 OMY720919 ODC720919 NTG720919 NJK720919 MZO720919 MPS720919 MFW720919 LWA720919 LME720919 LCI720919 KSM720919 KIQ720919 JYU720919 JOY720919 JFC720919 IVG720919 ILK720919 IBO720919 HRS720919 HHW720919 GYA720919 GOE720919 GEI720919 FUM720919 FKQ720919 FAU720919 EQY720919 EHC720919 DXG720919 DNK720919 DDO720919 CTS720919 CJW720919 CAA720919 BQE720919 BGI720919 AWM720919 AMQ720919 ACU720919 SY720919 JC720919 G720919 WVO655383 WLS655383 WBW655383 VSA655383 VIE655383 UYI655383 UOM655383 UEQ655383 TUU655383 TKY655383 TBC655383 SRG655383 SHK655383 RXO655383 RNS655383 RDW655383 QUA655383 QKE655383 QAI655383 PQM655383 PGQ655383 OWU655383 OMY655383 ODC655383 NTG655383 NJK655383 MZO655383 MPS655383 MFW655383 LWA655383 LME655383 LCI655383 KSM655383 KIQ655383 JYU655383 JOY655383 JFC655383 IVG655383 ILK655383 IBO655383 HRS655383 HHW655383 GYA655383 GOE655383 GEI655383 FUM655383 FKQ655383 FAU655383 EQY655383 EHC655383 DXG655383 DNK655383 DDO655383 CTS655383 CJW655383 CAA655383 BQE655383 BGI655383 AWM655383 AMQ655383 ACU655383 SY655383 JC655383 G655383 WVO589847 WLS589847 WBW589847 VSA589847 VIE589847 UYI589847 UOM589847 UEQ589847 TUU589847 TKY589847 TBC589847 SRG589847 SHK589847 RXO589847 RNS589847 RDW589847 QUA589847 QKE589847 QAI589847 PQM589847 PGQ589847 OWU589847 OMY589847 ODC589847 NTG589847 NJK589847 MZO589847 MPS589847 MFW589847 LWA589847 LME589847 LCI589847 KSM589847 KIQ589847 JYU589847 JOY589847 JFC589847 IVG589847 ILK589847 IBO589847 HRS589847 HHW589847 GYA589847 GOE589847 GEI589847 FUM589847 FKQ589847 FAU589847 EQY589847 EHC589847 DXG589847 DNK589847 DDO589847 CTS589847 CJW589847 CAA589847 BQE589847 BGI589847 AWM589847 AMQ589847 ACU589847 SY589847 JC589847 G589847 WVO524311 WLS524311 WBW524311 VSA524311 VIE524311 UYI524311 UOM524311 UEQ524311 TUU524311 TKY524311 TBC524311 SRG524311 SHK524311 RXO524311 RNS524311 RDW524311 QUA524311 QKE524311 QAI524311 PQM524311 PGQ524311 OWU524311 OMY524311 ODC524311 NTG524311 NJK524311 MZO524311 MPS524311 MFW524311 LWA524311 LME524311 LCI524311 KSM524311 KIQ524311 JYU524311 JOY524311 JFC524311 IVG524311 ILK524311 IBO524311 HRS524311 HHW524311 GYA524311 GOE524311 GEI524311 FUM524311 FKQ524311 FAU524311 EQY524311 EHC524311 DXG524311 DNK524311 DDO524311 CTS524311 CJW524311 CAA524311 BQE524311 BGI524311 AWM524311 AMQ524311 ACU524311 SY524311 JC524311 G524311 WVO458775 WLS458775 WBW458775 VSA458775 VIE458775 UYI458775 UOM458775 UEQ458775 TUU458775 TKY458775 TBC458775 SRG458775 SHK458775 RXO458775 RNS458775 RDW458775 QUA458775 QKE458775 QAI458775 PQM458775 PGQ458775 OWU458775 OMY458775 ODC458775 NTG458775 NJK458775 MZO458775 MPS458775 MFW458775 LWA458775 LME458775 LCI458775 KSM458775 KIQ458775 JYU458775 JOY458775 JFC458775 IVG458775 ILK458775 IBO458775 HRS458775 HHW458775 GYA458775 GOE458775 GEI458775 FUM458775 FKQ458775 FAU458775 EQY458775 EHC458775 DXG458775 DNK458775 DDO458775 CTS458775 CJW458775 CAA458775 BQE458775 BGI458775 AWM458775 AMQ458775 ACU458775 SY458775 JC458775 G458775 WVO393239 WLS393239 WBW393239 VSA393239 VIE393239 UYI393239 UOM393239 UEQ393239 TUU393239 TKY393239 TBC393239 SRG393239 SHK393239 RXO393239 RNS393239 RDW393239 QUA393239 QKE393239 QAI393239 PQM393239 PGQ393239 OWU393239 OMY393239 ODC393239 NTG393239 NJK393239 MZO393239 MPS393239 MFW393239 LWA393239 LME393239 LCI393239 KSM393239 KIQ393239 JYU393239 JOY393239 JFC393239 IVG393239 ILK393239 IBO393239 HRS393239 HHW393239 GYA393239 GOE393239 GEI393239 FUM393239 FKQ393239 FAU393239 EQY393239 EHC393239 DXG393239 DNK393239 DDO393239 CTS393239 CJW393239 CAA393239 BQE393239 BGI393239 AWM393239 AMQ393239 ACU393239 SY393239 JC393239 G393239 WVO327703 WLS327703 WBW327703 VSA327703 VIE327703 UYI327703 UOM327703 UEQ327703 TUU327703 TKY327703 TBC327703 SRG327703 SHK327703 RXO327703 RNS327703 RDW327703 QUA327703 QKE327703 QAI327703 PQM327703 PGQ327703 OWU327703 OMY327703 ODC327703 NTG327703 NJK327703 MZO327703 MPS327703 MFW327703 LWA327703 LME327703 LCI327703 KSM327703 KIQ327703 JYU327703 JOY327703 JFC327703 IVG327703 ILK327703 IBO327703 HRS327703 HHW327703 GYA327703 GOE327703 GEI327703 FUM327703 FKQ327703 FAU327703 EQY327703 EHC327703 DXG327703 DNK327703 DDO327703 CTS327703 CJW327703 CAA327703 BQE327703 BGI327703 AWM327703 AMQ327703 ACU327703 SY327703 JC327703 G327703 WVO262167 WLS262167 WBW262167 VSA262167 VIE262167 UYI262167 UOM262167 UEQ262167 TUU262167 TKY262167 TBC262167 SRG262167 SHK262167 RXO262167 RNS262167 RDW262167 QUA262167 QKE262167 QAI262167 PQM262167 PGQ262167 OWU262167 OMY262167 ODC262167 NTG262167 NJK262167 MZO262167 MPS262167 MFW262167 LWA262167 LME262167 LCI262167 KSM262167 KIQ262167 JYU262167 JOY262167 JFC262167 IVG262167 ILK262167 IBO262167 HRS262167 HHW262167 GYA262167 GOE262167 GEI262167 FUM262167 FKQ262167 FAU262167 EQY262167 EHC262167 DXG262167 DNK262167 DDO262167 CTS262167 CJW262167 CAA262167 BQE262167 BGI262167 AWM262167 AMQ262167 ACU262167 SY262167 JC262167 G262167 WVO196631 WLS196631 WBW196631 VSA196631 VIE196631 UYI196631 UOM196631 UEQ196631 TUU196631 TKY196631 TBC196631 SRG196631 SHK196631 RXO196631 RNS196631 RDW196631 QUA196631 QKE196631 QAI196631 PQM196631 PGQ196631 OWU196631 OMY196631 ODC196631 NTG196631 NJK196631 MZO196631 MPS196631 MFW196631 LWA196631 LME196631 LCI196631 KSM196631 KIQ196631 JYU196631 JOY196631 JFC196631 IVG196631 ILK196631 IBO196631 HRS196631 HHW196631 GYA196631 GOE196631 GEI196631 FUM196631 FKQ196631 FAU196631 EQY196631 EHC196631 DXG196631 DNK196631 DDO196631 CTS196631 CJW196631 CAA196631 BQE196631 BGI196631 AWM196631 AMQ196631 ACU196631 SY196631 JC196631 G196631 WVO131095 WLS131095 WBW131095 VSA131095 VIE131095 UYI131095 UOM131095 UEQ131095 TUU131095 TKY131095 TBC131095 SRG131095 SHK131095 RXO131095 RNS131095 RDW131095 QUA131095 QKE131095 QAI131095 PQM131095 PGQ131095 OWU131095 OMY131095 ODC131095 NTG131095 NJK131095 MZO131095 MPS131095 MFW131095 LWA131095 LME131095 LCI131095 KSM131095 KIQ131095 JYU131095 JOY131095 JFC131095 IVG131095 ILK131095 IBO131095 HRS131095 HHW131095 GYA131095 GOE131095 GEI131095 FUM131095 FKQ131095 FAU131095 EQY131095 EHC131095 DXG131095 DNK131095 DDO131095 CTS131095 CJW131095 CAA131095 BQE131095 BGI131095 AWM131095 AMQ131095 ACU131095 SY131095 JC131095 G131095 WVO65559 WLS65559 WBW65559 VSA65559 VIE65559 UYI65559 UOM65559 UEQ65559 TUU65559 TKY65559 TBC65559 SRG65559 SHK65559 RXO65559 RNS65559 RDW65559 QUA65559 QKE65559 QAI65559 PQM65559 PGQ65559 OWU65559 OMY65559 ODC65559 NTG65559 NJK65559 MZO65559 MPS65559 MFW65559 LWA65559 LME65559 LCI65559 KSM65559 KIQ65559 JYU65559 JOY65559 JFC65559 IVG65559 ILK65559 IBO65559 HRS65559 HHW65559 GYA65559 GOE65559 GEI65559 FUM65559 FKQ65559 FAU65559 EQY65559 EHC65559 DXG65559 DNK65559 DDO65559 CTS65559 CJW65559 CAA65559 BQE65559 BGI65559 AWM65559 AMQ65559 ACU65559 SY65559 JC65559 G65559 WVO23 WLS23 WBW23 VSA23 VIE23 UYI23 UOM23 UEQ23 TUU23 TKY23 TBC23 SRG23 SHK23 RXO23 RNS23 RDW23 QUA23 QKE23 QAI23 PQM23 PGQ23 OWU23 OMY23 ODC23 NTG23 NJK23 MZO23 MPS23 MFW23 LWA23 LME23 LCI23 KSM23 KIQ23 JYU23 JOY23 JFC23 IVG23 ILK23 IBO23 HRS23 HHW23 GYA23 GOE23 GEI23 FUM23 FKQ23 FAU23 EQY23 EHC23 DXG23 DNK23 DDO23 CTS23 CJW23 CAA23 BQE23 BGI23 AWM23 AMQ23 ACU23 SY23 JC23">
      <formula1>0</formula1>
      <formula2>0</formula2>
    </dataValidation>
    <dataValidation allowBlank="1" showInputMessage="1" showErrorMessage="1" promptTitle="Testing Date" prompt="Date on which test was performed in yyyy/mm/dd format" sqref="G24 WVO983064 WLS983064 WBW983064 VSA983064 VIE983064 UYI983064 UOM983064 UEQ983064 TUU983064 TKY983064 TBC983064 SRG983064 SHK983064 RXO983064 RNS983064 RDW983064 QUA983064 QKE983064 QAI983064 PQM983064 PGQ983064 OWU983064 OMY983064 ODC983064 NTG983064 NJK983064 MZO983064 MPS983064 MFW983064 LWA983064 LME983064 LCI983064 KSM983064 KIQ983064 JYU983064 JOY983064 JFC983064 IVG983064 ILK983064 IBO983064 HRS983064 HHW983064 GYA983064 GOE983064 GEI983064 FUM983064 FKQ983064 FAU983064 EQY983064 EHC983064 DXG983064 DNK983064 DDO983064 CTS983064 CJW983064 CAA983064 BQE983064 BGI983064 AWM983064 AMQ983064 ACU983064 SY983064 JC983064 G983064 WVO917528 WLS917528 WBW917528 VSA917528 VIE917528 UYI917528 UOM917528 UEQ917528 TUU917528 TKY917528 TBC917528 SRG917528 SHK917528 RXO917528 RNS917528 RDW917528 QUA917528 QKE917528 QAI917528 PQM917528 PGQ917528 OWU917528 OMY917528 ODC917528 NTG917528 NJK917528 MZO917528 MPS917528 MFW917528 LWA917528 LME917528 LCI917528 KSM917528 KIQ917528 JYU917528 JOY917528 JFC917528 IVG917528 ILK917528 IBO917528 HRS917528 HHW917528 GYA917528 GOE917528 GEI917528 FUM917528 FKQ917528 FAU917528 EQY917528 EHC917528 DXG917528 DNK917528 DDO917528 CTS917528 CJW917528 CAA917528 BQE917528 BGI917528 AWM917528 AMQ917528 ACU917528 SY917528 JC917528 G917528 WVO851992 WLS851992 WBW851992 VSA851992 VIE851992 UYI851992 UOM851992 UEQ851992 TUU851992 TKY851992 TBC851992 SRG851992 SHK851992 RXO851992 RNS851992 RDW851992 QUA851992 QKE851992 QAI851992 PQM851992 PGQ851992 OWU851992 OMY851992 ODC851992 NTG851992 NJK851992 MZO851992 MPS851992 MFW851992 LWA851992 LME851992 LCI851992 KSM851992 KIQ851992 JYU851992 JOY851992 JFC851992 IVG851992 ILK851992 IBO851992 HRS851992 HHW851992 GYA851992 GOE851992 GEI851992 FUM851992 FKQ851992 FAU851992 EQY851992 EHC851992 DXG851992 DNK851992 DDO851992 CTS851992 CJW851992 CAA851992 BQE851992 BGI851992 AWM851992 AMQ851992 ACU851992 SY851992 JC851992 G851992 WVO786456 WLS786456 WBW786456 VSA786456 VIE786456 UYI786456 UOM786456 UEQ786456 TUU786456 TKY786456 TBC786456 SRG786456 SHK786456 RXO786456 RNS786456 RDW786456 QUA786456 QKE786456 QAI786456 PQM786456 PGQ786456 OWU786456 OMY786456 ODC786456 NTG786456 NJK786456 MZO786456 MPS786456 MFW786456 LWA786456 LME786456 LCI786456 KSM786456 KIQ786456 JYU786456 JOY786456 JFC786456 IVG786456 ILK786456 IBO786456 HRS786456 HHW786456 GYA786456 GOE786456 GEI786456 FUM786456 FKQ786456 FAU786456 EQY786456 EHC786456 DXG786456 DNK786456 DDO786456 CTS786456 CJW786456 CAA786456 BQE786456 BGI786456 AWM786456 AMQ786456 ACU786456 SY786456 JC786456 G786456 WVO720920 WLS720920 WBW720920 VSA720920 VIE720920 UYI720920 UOM720920 UEQ720920 TUU720920 TKY720920 TBC720920 SRG720920 SHK720920 RXO720920 RNS720920 RDW720920 QUA720920 QKE720920 QAI720920 PQM720920 PGQ720920 OWU720920 OMY720920 ODC720920 NTG720920 NJK720920 MZO720920 MPS720920 MFW720920 LWA720920 LME720920 LCI720920 KSM720920 KIQ720920 JYU720920 JOY720920 JFC720920 IVG720920 ILK720920 IBO720920 HRS720920 HHW720920 GYA720920 GOE720920 GEI720920 FUM720920 FKQ720920 FAU720920 EQY720920 EHC720920 DXG720920 DNK720920 DDO720920 CTS720920 CJW720920 CAA720920 BQE720920 BGI720920 AWM720920 AMQ720920 ACU720920 SY720920 JC720920 G720920 WVO655384 WLS655384 WBW655384 VSA655384 VIE655384 UYI655384 UOM655384 UEQ655384 TUU655384 TKY655384 TBC655384 SRG655384 SHK655384 RXO655384 RNS655384 RDW655384 QUA655384 QKE655384 QAI655384 PQM655384 PGQ655384 OWU655384 OMY655384 ODC655384 NTG655384 NJK655384 MZO655384 MPS655384 MFW655384 LWA655384 LME655384 LCI655384 KSM655384 KIQ655384 JYU655384 JOY655384 JFC655384 IVG655384 ILK655384 IBO655384 HRS655384 HHW655384 GYA655384 GOE655384 GEI655384 FUM655384 FKQ655384 FAU655384 EQY655384 EHC655384 DXG655384 DNK655384 DDO655384 CTS655384 CJW655384 CAA655384 BQE655384 BGI655384 AWM655384 AMQ655384 ACU655384 SY655384 JC655384 G655384 WVO589848 WLS589848 WBW589848 VSA589848 VIE589848 UYI589848 UOM589848 UEQ589848 TUU589848 TKY589848 TBC589848 SRG589848 SHK589848 RXO589848 RNS589848 RDW589848 QUA589848 QKE589848 QAI589848 PQM589848 PGQ589848 OWU589848 OMY589848 ODC589848 NTG589848 NJK589848 MZO589848 MPS589848 MFW589848 LWA589848 LME589848 LCI589848 KSM589848 KIQ589848 JYU589848 JOY589848 JFC589848 IVG589848 ILK589848 IBO589848 HRS589848 HHW589848 GYA589848 GOE589848 GEI589848 FUM589848 FKQ589848 FAU589848 EQY589848 EHC589848 DXG589848 DNK589848 DDO589848 CTS589848 CJW589848 CAA589848 BQE589848 BGI589848 AWM589848 AMQ589848 ACU589848 SY589848 JC589848 G589848 WVO524312 WLS524312 WBW524312 VSA524312 VIE524312 UYI524312 UOM524312 UEQ524312 TUU524312 TKY524312 TBC524312 SRG524312 SHK524312 RXO524312 RNS524312 RDW524312 QUA524312 QKE524312 QAI524312 PQM524312 PGQ524312 OWU524312 OMY524312 ODC524312 NTG524312 NJK524312 MZO524312 MPS524312 MFW524312 LWA524312 LME524312 LCI524312 KSM524312 KIQ524312 JYU524312 JOY524312 JFC524312 IVG524312 ILK524312 IBO524312 HRS524312 HHW524312 GYA524312 GOE524312 GEI524312 FUM524312 FKQ524312 FAU524312 EQY524312 EHC524312 DXG524312 DNK524312 DDO524312 CTS524312 CJW524312 CAA524312 BQE524312 BGI524312 AWM524312 AMQ524312 ACU524312 SY524312 JC524312 G524312 WVO458776 WLS458776 WBW458776 VSA458776 VIE458776 UYI458776 UOM458776 UEQ458776 TUU458776 TKY458776 TBC458776 SRG458776 SHK458776 RXO458776 RNS458776 RDW458776 QUA458776 QKE458776 QAI458776 PQM458776 PGQ458776 OWU458776 OMY458776 ODC458776 NTG458776 NJK458776 MZO458776 MPS458776 MFW458776 LWA458776 LME458776 LCI458776 KSM458776 KIQ458776 JYU458776 JOY458776 JFC458776 IVG458776 ILK458776 IBO458776 HRS458776 HHW458776 GYA458776 GOE458776 GEI458776 FUM458776 FKQ458776 FAU458776 EQY458776 EHC458776 DXG458776 DNK458776 DDO458776 CTS458776 CJW458776 CAA458776 BQE458776 BGI458776 AWM458776 AMQ458776 ACU458776 SY458776 JC458776 G458776 WVO393240 WLS393240 WBW393240 VSA393240 VIE393240 UYI393240 UOM393240 UEQ393240 TUU393240 TKY393240 TBC393240 SRG393240 SHK393240 RXO393240 RNS393240 RDW393240 QUA393240 QKE393240 QAI393240 PQM393240 PGQ393240 OWU393240 OMY393240 ODC393240 NTG393240 NJK393240 MZO393240 MPS393240 MFW393240 LWA393240 LME393240 LCI393240 KSM393240 KIQ393240 JYU393240 JOY393240 JFC393240 IVG393240 ILK393240 IBO393240 HRS393240 HHW393240 GYA393240 GOE393240 GEI393240 FUM393240 FKQ393240 FAU393240 EQY393240 EHC393240 DXG393240 DNK393240 DDO393240 CTS393240 CJW393240 CAA393240 BQE393240 BGI393240 AWM393240 AMQ393240 ACU393240 SY393240 JC393240 G393240 WVO327704 WLS327704 WBW327704 VSA327704 VIE327704 UYI327704 UOM327704 UEQ327704 TUU327704 TKY327704 TBC327704 SRG327704 SHK327704 RXO327704 RNS327704 RDW327704 QUA327704 QKE327704 QAI327704 PQM327704 PGQ327704 OWU327704 OMY327704 ODC327704 NTG327704 NJK327704 MZO327704 MPS327704 MFW327704 LWA327704 LME327704 LCI327704 KSM327704 KIQ327704 JYU327704 JOY327704 JFC327704 IVG327704 ILK327704 IBO327704 HRS327704 HHW327704 GYA327704 GOE327704 GEI327704 FUM327704 FKQ327704 FAU327704 EQY327704 EHC327704 DXG327704 DNK327704 DDO327704 CTS327704 CJW327704 CAA327704 BQE327704 BGI327704 AWM327704 AMQ327704 ACU327704 SY327704 JC327704 G327704 WVO262168 WLS262168 WBW262168 VSA262168 VIE262168 UYI262168 UOM262168 UEQ262168 TUU262168 TKY262168 TBC262168 SRG262168 SHK262168 RXO262168 RNS262168 RDW262168 QUA262168 QKE262168 QAI262168 PQM262168 PGQ262168 OWU262168 OMY262168 ODC262168 NTG262168 NJK262168 MZO262168 MPS262168 MFW262168 LWA262168 LME262168 LCI262168 KSM262168 KIQ262168 JYU262168 JOY262168 JFC262168 IVG262168 ILK262168 IBO262168 HRS262168 HHW262168 GYA262168 GOE262168 GEI262168 FUM262168 FKQ262168 FAU262168 EQY262168 EHC262168 DXG262168 DNK262168 DDO262168 CTS262168 CJW262168 CAA262168 BQE262168 BGI262168 AWM262168 AMQ262168 ACU262168 SY262168 JC262168 G262168 WVO196632 WLS196632 WBW196632 VSA196632 VIE196632 UYI196632 UOM196632 UEQ196632 TUU196632 TKY196632 TBC196632 SRG196632 SHK196632 RXO196632 RNS196632 RDW196632 QUA196632 QKE196632 QAI196632 PQM196632 PGQ196632 OWU196632 OMY196632 ODC196632 NTG196632 NJK196632 MZO196632 MPS196632 MFW196632 LWA196632 LME196632 LCI196632 KSM196632 KIQ196632 JYU196632 JOY196632 JFC196632 IVG196632 ILK196632 IBO196632 HRS196632 HHW196632 GYA196632 GOE196632 GEI196632 FUM196632 FKQ196632 FAU196632 EQY196632 EHC196632 DXG196632 DNK196632 DDO196632 CTS196632 CJW196632 CAA196632 BQE196632 BGI196632 AWM196632 AMQ196632 ACU196632 SY196632 JC196632 G196632 WVO131096 WLS131096 WBW131096 VSA131096 VIE131096 UYI131096 UOM131096 UEQ131096 TUU131096 TKY131096 TBC131096 SRG131096 SHK131096 RXO131096 RNS131096 RDW131096 QUA131096 QKE131096 QAI131096 PQM131096 PGQ131096 OWU131096 OMY131096 ODC131096 NTG131096 NJK131096 MZO131096 MPS131096 MFW131096 LWA131096 LME131096 LCI131096 KSM131096 KIQ131096 JYU131096 JOY131096 JFC131096 IVG131096 ILK131096 IBO131096 HRS131096 HHW131096 GYA131096 GOE131096 GEI131096 FUM131096 FKQ131096 FAU131096 EQY131096 EHC131096 DXG131096 DNK131096 DDO131096 CTS131096 CJW131096 CAA131096 BQE131096 BGI131096 AWM131096 AMQ131096 ACU131096 SY131096 JC131096 G131096 WVO65560 WLS65560 WBW65560 VSA65560 VIE65560 UYI65560 UOM65560 UEQ65560 TUU65560 TKY65560 TBC65560 SRG65560 SHK65560 RXO65560 RNS65560 RDW65560 QUA65560 QKE65560 QAI65560 PQM65560 PGQ65560 OWU65560 OMY65560 ODC65560 NTG65560 NJK65560 MZO65560 MPS65560 MFW65560 LWA65560 LME65560 LCI65560 KSM65560 KIQ65560 JYU65560 JOY65560 JFC65560 IVG65560 ILK65560 IBO65560 HRS65560 HHW65560 GYA65560 GOE65560 GEI65560 FUM65560 FKQ65560 FAU65560 EQY65560 EHC65560 DXG65560 DNK65560 DDO65560 CTS65560 CJW65560 CAA65560 BQE65560 BGI65560 AWM65560 AMQ65560 ACU65560 SY65560 JC65560 G65560 WVO24 WLS24 WBW24 VSA24 VIE24 UYI24 UOM24 UEQ24 TUU24 TKY24 TBC24 SRG24 SHK24 RXO24 RNS24 RDW24 QUA24 QKE24 QAI24 PQM24 PGQ24 OWU24 OMY24 ODC24 NTG24 NJK24 MZO24 MPS24 MFW24 LWA24 LME24 LCI24 KSM24 KIQ24 JYU24 JOY24 JFC24 IVG24 ILK24 IBO24 HRS24 HHW24 GYA24 GOE24 GEI24 FUM24 FKQ24 FAU24 EQY24 EHC24 DXG24 DNK24 DDO24 CTS24 CJW24 CAA24 BQE24 BGI24 AWM24 AMQ24 ACU24 SY24 JC24">
      <formula1>0</formula1>
      <formula2>0</formula2>
    </dataValidation>
    <dataValidation allowBlank="1" showInputMessage="1" showErrorMessage="1" promptTitle="Test Result" prompt="OK : Result is OK      _x000a_NG : Result is not as expected_x000a_NA : Not Applicable      _x000a_PT : Testing Pending (as Data not available/ cannot be generated currently)" sqref="G25 WVO983065 WLS983065 WBW983065 VSA983065 VIE983065 UYI983065 UOM983065 UEQ983065 TUU983065 TKY983065 TBC983065 SRG983065 SHK983065 RXO983065 RNS983065 RDW983065 QUA983065 QKE983065 QAI983065 PQM983065 PGQ983065 OWU983065 OMY983065 ODC983065 NTG983065 NJK983065 MZO983065 MPS983065 MFW983065 LWA983065 LME983065 LCI983065 KSM983065 KIQ983065 JYU983065 JOY983065 JFC983065 IVG983065 ILK983065 IBO983065 HRS983065 HHW983065 GYA983065 GOE983065 GEI983065 FUM983065 FKQ983065 FAU983065 EQY983065 EHC983065 DXG983065 DNK983065 DDO983065 CTS983065 CJW983065 CAA983065 BQE983065 BGI983065 AWM983065 AMQ983065 ACU983065 SY983065 JC983065 G983065 WVO917529 WLS917529 WBW917529 VSA917529 VIE917529 UYI917529 UOM917529 UEQ917529 TUU917529 TKY917529 TBC917529 SRG917529 SHK917529 RXO917529 RNS917529 RDW917529 QUA917529 QKE917529 QAI917529 PQM917529 PGQ917529 OWU917529 OMY917529 ODC917529 NTG917529 NJK917529 MZO917529 MPS917529 MFW917529 LWA917529 LME917529 LCI917529 KSM917529 KIQ917529 JYU917529 JOY917529 JFC917529 IVG917529 ILK917529 IBO917529 HRS917529 HHW917529 GYA917529 GOE917529 GEI917529 FUM917529 FKQ917529 FAU917529 EQY917529 EHC917529 DXG917529 DNK917529 DDO917529 CTS917529 CJW917529 CAA917529 BQE917529 BGI917529 AWM917529 AMQ917529 ACU917529 SY917529 JC917529 G917529 WVO851993 WLS851993 WBW851993 VSA851993 VIE851993 UYI851993 UOM851993 UEQ851993 TUU851993 TKY851993 TBC851993 SRG851993 SHK851993 RXO851993 RNS851993 RDW851993 QUA851993 QKE851993 QAI851993 PQM851993 PGQ851993 OWU851993 OMY851993 ODC851993 NTG851993 NJK851993 MZO851993 MPS851993 MFW851993 LWA851993 LME851993 LCI851993 KSM851993 KIQ851993 JYU851993 JOY851993 JFC851993 IVG851993 ILK851993 IBO851993 HRS851993 HHW851993 GYA851993 GOE851993 GEI851993 FUM851993 FKQ851993 FAU851993 EQY851993 EHC851993 DXG851993 DNK851993 DDO851993 CTS851993 CJW851993 CAA851993 BQE851993 BGI851993 AWM851993 AMQ851993 ACU851993 SY851993 JC851993 G851993 WVO786457 WLS786457 WBW786457 VSA786457 VIE786457 UYI786457 UOM786457 UEQ786457 TUU786457 TKY786457 TBC786457 SRG786457 SHK786457 RXO786457 RNS786457 RDW786457 QUA786457 QKE786457 QAI786457 PQM786457 PGQ786457 OWU786457 OMY786457 ODC786457 NTG786457 NJK786457 MZO786457 MPS786457 MFW786457 LWA786457 LME786457 LCI786457 KSM786457 KIQ786457 JYU786457 JOY786457 JFC786457 IVG786457 ILK786457 IBO786457 HRS786457 HHW786457 GYA786457 GOE786457 GEI786457 FUM786457 FKQ786457 FAU786457 EQY786457 EHC786457 DXG786457 DNK786457 DDO786457 CTS786457 CJW786457 CAA786457 BQE786457 BGI786457 AWM786457 AMQ786457 ACU786457 SY786457 JC786457 G786457 WVO720921 WLS720921 WBW720921 VSA720921 VIE720921 UYI720921 UOM720921 UEQ720921 TUU720921 TKY720921 TBC720921 SRG720921 SHK720921 RXO720921 RNS720921 RDW720921 QUA720921 QKE720921 QAI720921 PQM720921 PGQ720921 OWU720921 OMY720921 ODC720921 NTG720921 NJK720921 MZO720921 MPS720921 MFW720921 LWA720921 LME720921 LCI720921 KSM720921 KIQ720921 JYU720921 JOY720921 JFC720921 IVG720921 ILK720921 IBO720921 HRS720921 HHW720921 GYA720921 GOE720921 GEI720921 FUM720921 FKQ720921 FAU720921 EQY720921 EHC720921 DXG720921 DNK720921 DDO720921 CTS720921 CJW720921 CAA720921 BQE720921 BGI720921 AWM720921 AMQ720921 ACU720921 SY720921 JC720921 G720921 WVO655385 WLS655385 WBW655385 VSA655385 VIE655385 UYI655385 UOM655385 UEQ655385 TUU655385 TKY655385 TBC655385 SRG655385 SHK655385 RXO655385 RNS655385 RDW655385 QUA655385 QKE655385 QAI655385 PQM655385 PGQ655385 OWU655385 OMY655385 ODC655385 NTG655385 NJK655385 MZO655385 MPS655385 MFW655385 LWA655385 LME655385 LCI655385 KSM655385 KIQ655385 JYU655385 JOY655385 JFC655385 IVG655385 ILK655385 IBO655385 HRS655385 HHW655385 GYA655385 GOE655385 GEI655385 FUM655385 FKQ655385 FAU655385 EQY655385 EHC655385 DXG655385 DNK655385 DDO655385 CTS655385 CJW655385 CAA655385 BQE655385 BGI655385 AWM655385 AMQ655385 ACU655385 SY655385 JC655385 G655385 WVO589849 WLS589849 WBW589849 VSA589849 VIE589849 UYI589849 UOM589849 UEQ589849 TUU589849 TKY589849 TBC589849 SRG589849 SHK589849 RXO589849 RNS589849 RDW589849 QUA589849 QKE589849 QAI589849 PQM589849 PGQ589849 OWU589849 OMY589849 ODC589849 NTG589849 NJK589849 MZO589849 MPS589849 MFW589849 LWA589849 LME589849 LCI589849 KSM589849 KIQ589849 JYU589849 JOY589849 JFC589849 IVG589849 ILK589849 IBO589849 HRS589849 HHW589849 GYA589849 GOE589849 GEI589849 FUM589849 FKQ589849 FAU589849 EQY589849 EHC589849 DXG589849 DNK589849 DDO589849 CTS589849 CJW589849 CAA589849 BQE589849 BGI589849 AWM589849 AMQ589849 ACU589849 SY589849 JC589849 G589849 WVO524313 WLS524313 WBW524313 VSA524313 VIE524313 UYI524313 UOM524313 UEQ524313 TUU524313 TKY524313 TBC524313 SRG524313 SHK524313 RXO524313 RNS524313 RDW524313 QUA524313 QKE524313 QAI524313 PQM524313 PGQ524313 OWU524313 OMY524313 ODC524313 NTG524313 NJK524313 MZO524313 MPS524313 MFW524313 LWA524313 LME524313 LCI524313 KSM524313 KIQ524313 JYU524313 JOY524313 JFC524313 IVG524313 ILK524313 IBO524313 HRS524313 HHW524313 GYA524313 GOE524313 GEI524313 FUM524313 FKQ524313 FAU524313 EQY524313 EHC524313 DXG524313 DNK524313 DDO524313 CTS524313 CJW524313 CAA524313 BQE524313 BGI524313 AWM524313 AMQ524313 ACU524313 SY524313 JC524313 G524313 WVO458777 WLS458777 WBW458777 VSA458777 VIE458777 UYI458777 UOM458777 UEQ458777 TUU458777 TKY458777 TBC458777 SRG458777 SHK458777 RXO458777 RNS458777 RDW458777 QUA458777 QKE458777 QAI458777 PQM458777 PGQ458777 OWU458777 OMY458777 ODC458777 NTG458777 NJK458777 MZO458777 MPS458777 MFW458777 LWA458777 LME458777 LCI458777 KSM458777 KIQ458777 JYU458777 JOY458777 JFC458777 IVG458777 ILK458777 IBO458777 HRS458777 HHW458777 GYA458777 GOE458777 GEI458777 FUM458777 FKQ458777 FAU458777 EQY458777 EHC458777 DXG458777 DNK458777 DDO458777 CTS458777 CJW458777 CAA458777 BQE458777 BGI458777 AWM458777 AMQ458777 ACU458777 SY458777 JC458777 G458777 WVO393241 WLS393241 WBW393241 VSA393241 VIE393241 UYI393241 UOM393241 UEQ393241 TUU393241 TKY393241 TBC393241 SRG393241 SHK393241 RXO393241 RNS393241 RDW393241 QUA393241 QKE393241 QAI393241 PQM393241 PGQ393241 OWU393241 OMY393241 ODC393241 NTG393241 NJK393241 MZO393241 MPS393241 MFW393241 LWA393241 LME393241 LCI393241 KSM393241 KIQ393241 JYU393241 JOY393241 JFC393241 IVG393241 ILK393241 IBO393241 HRS393241 HHW393241 GYA393241 GOE393241 GEI393241 FUM393241 FKQ393241 FAU393241 EQY393241 EHC393241 DXG393241 DNK393241 DDO393241 CTS393241 CJW393241 CAA393241 BQE393241 BGI393241 AWM393241 AMQ393241 ACU393241 SY393241 JC393241 G393241 WVO327705 WLS327705 WBW327705 VSA327705 VIE327705 UYI327705 UOM327705 UEQ327705 TUU327705 TKY327705 TBC327705 SRG327705 SHK327705 RXO327705 RNS327705 RDW327705 QUA327705 QKE327705 QAI327705 PQM327705 PGQ327705 OWU327705 OMY327705 ODC327705 NTG327705 NJK327705 MZO327705 MPS327705 MFW327705 LWA327705 LME327705 LCI327705 KSM327705 KIQ327705 JYU327705 JOY327705 JFC327705 IVG327705 ILK327705 IBO327705 HRS327705 HHW327705 GYA327705 GOE327705 GEI327705 FUM327705 FKQ327705 FAU327705 EQY327705 EHC327705 DXG327705 DNK327705 DDO327705 CTS327705 CJW327705 CAA327705 BQE327705 BGI327705 AWM327705 AMQ327705 ACU327705 SY327705 JC327705 G327705 WVO262169 WLS262169 WBW262169 VSA262169 VIE262169 UYI262169 UOM262169 UEQ262169 TUU262169 TKY262169 TBC262169 SRG262169 SHK262169 RXO262169 RNS262169 RDW262169 QUA262169 QKE262169 QAI262169 PQM262169 PGQ262169 OWU262169 OMY262169 ODC262169 NTG262169 NJK262169 MZO262169 MPS262169 MFW262169 LWA262169 LME262169 LCI262169 KSM262169 KIQ262169 JYU262169 JOY262169 JFC262169 IVG262169 ILK262169 IBO262169 HRS262169 HHW262169 GYA262169 GOE262169 GEI262169 FUM262169 FKQ262169 FAU262169 EQY262169 EHC262169 DXG262169 DNK262169 DDO262169 CTS262169 CJW262169 CAA262169 BQE262169 BGI262169 AWM262169 AMQ262169 ACU262169 SY262169 JC262169 G262169 WVO196633 WLS196633 WBW196633 VSA196633 VIE196633 UYI196633 UOM196633 UEQ196633 TUU196633 TKY196633 TBC196633 SRG196633 SHK196633 RXO196633 RNS196633 RDW196633 QUA196633 QKE196633 QAI196633 PQM196633 PGQ196633 OWU196633 OMY196633 ODC196633 NTG196633 NJK196633 MZO196633 MPS196633 MFW196633 LWA196633 LME196633 LCI196633 KSM196633 KIQ196633 JYU196633 JOY196633 JFC196633 IVG196633 ILK196633 IBO196633 HRS196633 HHW196633 GYA196633 GOE196633 GEI196633 FUM196633 FKQ196633 FAU196633 EQY196633 EHC196633 DXG196633 DNK196633 DDO196633 CTS196633 CJW196633 CAA196633 BQE196633 BGI196633 AWM196633 AMQ196633 ACU196633 SY196633 JC196633 G196633 WVO131097 WLS131097 WBW131097 VSA131097 VIE131097 UYI131097 UOM131097 UEQ131097 TUU131097 TKY131097 TBC131097 SRG131097 SHK131097 RXO131097 RNS131097 RDW131097 QUA131097 QKE131097 QAI131097 PQM131097 PGQ131097 OWU131097 OMY131097 ODC131097 NTG131097 NJK131097 MZO131097 MPS131097 MFW131097 LWA131097 LME131097 LCI131097 KSM131097 KIQ131097 JYU131097 JOY131097 JFC131097 IVG131097 ILK131097 IBO131097 HRS131097 HHW131097 GYA131097 GOE131097 GEI131097 FUM131097 FKQ131097 FAU131097 EQY131097 EHC131097 DXG131097 DNK131097 DDO131097 CTS131097 CJW131097 CAA131097 BQE131097 BGI131097 AWM131097 AMQ131097 ACU131097 SY131097 JC131097 G131097 WVO65561 WLS65561 WBW65561 VSA65561 VIE65561 UYI65561 UOM65561 UEQ65561 TUU65561 TKY65561 TBC65561 SRG65561 SHK65561 RXO65561 RNS65561 RDW65561 QUA65561 QKE65561 QAI65561 PQM65561 PGQ65561 OWU65561 OMY65561 ODC65561 NTG65561 NJK65561 MZO65561 MPS65561 MFW65561 LWA65561 LME65561 LCI65561 KSM65561 KIQ65561 JYU65561 JOY65561 JFC65561 IVG65561 ILK65561 IBO65561 HRS65561 HHW65561 GYA65561 GOE65561 GEI65561 FUM65561 FKQ65561 FAU65561 EQY65561 EHC65561 DXG65561 DNK65561 DDO65561 CTS65561 CJW65561 CAA65561 BQE65561 BGI65561 AWM65561 AMQ65561 ACU65561 SY65561 JC65561 G65561 WVO25 WLS25 WBW25 VSA25 VIE25 UYI25 UOM25 UEQ25 TUU25 TKY25 TBC25 SRG25 SHK25 RXO25 RNS25 RDW25 QUA25 QKE25 QAI25 PQM25 PGQ25 OWU25 OMY25 ODC25 NTG25 NJK25 MZO25 MPS25 MFW25 LWA25 LME25 LCI25 KSM25 KIQ25 JYU25 JOY25 JFC25 IVG25 ILK25 IBO25 HRS25 HHW25 GYA25 GOE25 GEI25 FUM25 FKQ25 FAU25 EQY25 EHC25 DXG25 DNK25 DDO25 CTS25 CJW25 CAA25 BQE25 BGI25 AWM25 AMQ25 ACU25 SY25 JC25">
      <formula1>0</formula1>
      <formula2>0</formula2>
    </dataValidation>
    <dataValidation allowBlank="1" showInputMessage="1" showErrorMessage="1" promptTitle="Bug ID" prompt="Unique ID throughout the project._x000a_For every Bug found during Test as well as Re-Test, a new Bug ID needs to be entered here (as a comma seperated value)" sqref="B26:E26 WVJ983066:WVM983066 WLN983066:WLQ983066 WBR983066:WBU983066 VRV983066:VRY983066 VHZ983066:VIC983066 UYD983066:UYG983066 UOH983066:UOK983066 UEL983066:UEO983066 TUP983066:TUS983066 TKT983066:TKW983066 TAX983066:TBA983066 SRB983066:SRE983066 SHF983066:SHI983066 RXJ983066:RXM983066 RNN983066:RNQ983066 RDR983066:RDU983066 QTV983066:QTY983066 QJZ983066:QKC983066 QAD983066:QAG983066 PQH983066:PQK983066 PGL983066:PGO983066 OWP983066:OWS983066 OMT983066:OMW983066 OCX983066:ODA983066 NTB983066:NTE983066 NJF983066:NJI983066 MZJ983066:MZM983066 MPN983066:MPQ983066 MFR983066:MFU983066 LVV983066:LVY983066 LLZ983066:LMC983066 LCD983066:LCG983066 KSH983066:KSK983066 KIL983066:KIO983066 JYP983066:JYS983066 JOT983066:JOW983066 JEX983066:JFA983066 IVB983066:IVE983066 ILF983066:ILI983066 IBJ983066:IBM983066 HRN983066:HRQ983066 HHR983066:HHU983066 GXV983066:GXY983066 GNZ983066:GOC983066 GED983066:GEG983066 FUH983066:FUK983066 FKL983066:FKO983066 FAP983066:FAS983066 EQT983066:EQW983066 EGX983066:EHA983066 DXB983066:DXE983066 DNF983066:DNI983066 DDJ983066:DDM983066 CTN983066:CTQ983066 CJR983066:CJU983066 BZV983066:BZY983066 BPZ983066:BQC983066 BGD983066:BGG983066 AWH983066:AWK983066 AML983066:AMO983066 ACP983066:ACS983066 ST983066:SW983066 IX983066:JA983066 B983066:E983066 WVJ917530:WVM917530 WLN917530:WLQ917530 WBR917530:WBU917530 VRV917530:VRY917530 VHZ917530:VIC917530 UYD917530:UYG917530 UOH917530:UOK917530 UEL917530:UEO917530 TUP917530:TUS917530 TKT917530:TKW917530 TAX917530:TBA917530 SRB917530:SRE917530 SHF917530:SHI917530 RXJ917530:RXM917530 RNN917530:RNQ917530 RDR917530:RDU917530 QTV917530:QTY917530 QJZ917530:QKC917530 QAD917530:QAG917530 PQH917530:PQK917530 PGL917530:PGO917530 OWP917530:OWS917530 OMT917530:OMW917530 OCX917530:ODA917530 NTB917530:NTE917530 NJF917530:NJI917530 MZJ917530:MZM917530 MPN917530:MPQ917530 MFR917530:MFU917530 LVV917530:LVY917530 LLZ917530:LMC917530 LCD917530:LCG917530 KSH917530:KSK917530 KIL917530:KIO917530 JYP917530:JYS917530 JOT917530:JOW917530 JEX917530:JFA917530 IVB917530:IVE917530 ILF917530:ILI917530 IBJ917530:IBM917530 HRN917530:HRQ917530 HHR917530:HHU917530 GXV917530:GXY917530 GNZ917530:GOC917530 GED917530:GEG917530 FUH917530:FUK917530 FKL917530:FKO917530 FAP917530:FAS917530 EQT917530:EQW917530 EGX917530:EHA917530 DXB917530:DXE917530 DNF917530:DNI917530 DDJ917530:DDM917530 CTN917530:CTQ917530 CJR917530:CJU917530 BZV917530:BZY917530 BPZ917530:BQC917530 BGD917530:BGG917530 AWH917530:AWK917530 AML917530:AMO917530 ACP917530:ACS917530 ST917530:SW917530 IX917530:JA917530 B917530:E917530 WVJ851994:WVM851994 WLN851994:WLQ851994 WBR851994:WBU851994 VRV851994:VRY851994 VHZ851994:VIC851994 UYD851994:UYG851994 UOH851994:UOK851994 UEL851994:UEO851994 TUP851994:TUS851994 TKT851994:TKW851994 TAX851994:TBA851994 SRB851994:SRE851994 SHF851994:SHI851994 RXJ851994:RXM851994 RNN851994:RNQ851994 RDR851994:RDU851994 QTV851994:QTY851994 QJZ851994:QKC851994 QAD851994:QAG851994 PQH851994:PQK851994 PGL851994:PGO851994 OWP851994:OWS851994 OMT851994:OMW851994 OCX851994:ODA851994 NTB851994:NTE851994 NJF851994:NJI851994 MZJ851994:MZM851994 MPN851994:MPQ851994 MFR851994:MFU851994 LVV851994:LVY851994 LLZ851994:LMC851994 LCD851994:LCG851994 KSH851994:KSK851994 KIL851994:KIO851994 JYP851994:JYS851994 JOT851994:JOW851994 JEX851994:JFA851994 IVB851994:IVE851994 ILF851994:ILI851994 IBJ851994:IBM851994 HRN851994:HRQ851994 HHR851994:HHU851994 GXV851994:GXY851994 GNZ851994:GOC851994 GED851994:GEG851994 FUH851994:FUK851994 FKL851994:FKO851994 FAP851994:FAS851994 EQT851994:EQW851994 EGX851994:EHA851994 DXB851994:DXE851994 DNF851994:DNI851994 DDJ851994:DDM851994 CTN851994:CTQ851994 CJR851994:CJU851994 BZV851994:BZY851994 BPZ851994:BQC851994 BGD851994:BGG851994 AWH851994:AWK851994 AML851994:AMO851994 ACP851994:ACS851994 ST851994:SW851994 IX851994:JA851994 B851994:E851994 WVJ786458:WVM786458 WLN786458:WLQ786458 WBR786458:WBU786458 VRV786458:VRY786458 VHZ786458:VIC786458 UYD786458:UYG786458 UOH786458:UOK786458 UEL786458:UEO786458 TUP786458:TUS786458 TKT786458:TKW786458 TAX786458:TBA786458 SRB786458:SRE786458 SHF786458:SHI786458 RXJ786458:RXM786458 RNN786458:RNQ786458 RDR786458:RDU786458 QTV786458:QTY786458 QJZ786458:QKC786458 QAD786458:QAG786458 PQH786458:PQK786458 PGL786458:PGO786458 OWP786458:OWS786458 OMT786458:OMW786458 OCX786458:ODA786458 NTB786458:NTE786458 NJF786458:NJI786458 MZJ786458:MZM786458 MPN786458:MPQ786458 MFR786458:MFU786458 LVV786458:LVY786458 LLZ786458:LMC786458 LCD786458:LCG786458 KSH786458:KSK786458 KIL786458:KIO786458 JYP786458:JYS786458 JOT786458:JOW786458 JEX786458:JFA786458 IVB786458:IVE786458 ILF786458:ILI786458 IBJ786458:IBM786458 HRN786458:HRQ786458 HHR786458:HHU786458 GXV786458:GXY786458 GNZ786458:GOC786458 GED786458:GEG786458 FUH786458:FUK786458 FKL786458:FKO786458 FAP786458:FAS786458 EQT786458:EQW786458 EGX786458:EHA786458 DXB786458:DXE786458 DNF786458:DNI786458 DDJ786458:DDM786458 CTN786458:CTQ786458 CJR786458:CJU786458 BZV786458:BZY786458 BPZ786458:BQC786458 BGD786458:BGG786458 AWH786458:AWK786458 AML786458:AMO786458 ACP786458:ACS786458 ST786458:SW786458 IX786458:JA786458 B786458:E786458 WVJ720922:WVM720922 WLN720922:WLQ720922 WBR720922:WBU720922 VRV720922:VRY720922 VHZ720922:VIC720922 UYD720922:UYG720922 UOH720922:UOK720922 UEL720922:UEO720922 TUP720922:TUS720922 TKT720922:TKW720922 TAX720922:TBA720922 SRB720922:SRE720922 SHF720922:SHI720922 RXJ720922:RXM720922 RNN720922:RNQ720922 RDR720922:RDU720922 QTV720922:QTY720922 QJZ720922:QKC720922 QAD720922:QAG720922 PQH720922:PQK720922 PGL720922:PGO720922 OWP720922:OWS720922 OMT720922:OMW720922 OCX720922:ODA720922 NTB720922:NTE720922 NJF720922:NJI720922 MZJ720922:MZM720922 MPN720922:MPQ720922 MFR720922:MFU720922 LVV720922:LVY720922 LLZ720922:LMC720922 LCD720922:LCG720922 KSH720922:KSK720922 KIL720922:KIO720922 JYP720922:JYS720922 JOT720922:JOW720922 JEX720922:JFA720922 IVB720922:IVE720922 ILF720922:ILI720922 IBJ720922:IBM720922 HRN720922:HRQ720922 HHR720922:HHU720922 GXV720922:GXY720922 GNZ720922:GOC720922 GED720922:GEG720922 FUH720922:FUK720922 FKL720922:FKO720922 FAP720922:FAS720922 EQT720922:EQW720922 EGX720922:EHA720922 DXB720922:DXE720922 DNF720922:DNI720922 DDJ720922:DDM720922 CTN720922:CTQ720922 CJR720922:CJU720922 BZV720922:BZY720922 BPZ720922:BQC720922 BGD720922:BGG720922 AWH720922:AWK720922 AML720922:AMO720922 ACP720922:ACS720922 ST720922:SW720922 IX720922:JA720922 B720922:E720922 WVJ655386:WVM655386 WLN655386:WLQ655386 WBR655386:WBU655386 VRV655386:VRY655386 VHZ655386:VIC655386 UYD655386:UYG655386 UOH655386:UOK655386 UEL655386:UEO655386 TUP655386:TUS655386 TKT655386:TKW655386 TAX655386:TBA655386 SRB655386:SRE655386 SHF655386:SHI655386 RXJ655386:RXM655386 RNN655386:RNQ655386 RDR655386:RDU655386 QTV655386:QTY655386 QJZ655386:QKC655386 QAD655386:QAG655386 PQH655386:PQK655386 PGL655386:PGO655386 OWP655386:OWS655386 OMT655386:OMW655386 OCX655386:ODA655386 NTB655386:NTE655386 NJF655386:NJI655386 MZJ655386:MZM655386 MPN655386:MPQ655386 MFR655386:MFU655386 LVV655386:LVY655386 LLZ655386:LMC655386 LCD655386:LCG655386 KSH655386:KSK655386 KIL655386:KIO655386 JYP655386:JYS655386 JOT655386:JOW655386 JEX655386:JFA655386 IVB655386:IVE655386 ILF655386:ILI655386 IBJ655386:IBM655386 HRN655386:HRQ655386 HHR655386:HHU655386 GXV655386:GXY655386 GNZ655386:GOC655386 GED655386:GEG655386 FUH655386:FUK655386 FKL655386:FKO655386 FAP655386:FAS655386 EQT655386:EQW655386 EGX655386:EHA655386 DXB655386:DXE655386 DNF655386:DNI655386 DDJ655386:DDM655386 CTN655386:CTQ655386 CJR655386:CJU655386 BZV655386:BZY655386 BPZ655386:BQC655386 BGD655386:BGG655386 AWH655386:AWK655386 AML655386:AMO655386 ACP655386:ACS655386 ST655386:SW655386 IX655386:JA655386 B655386:E655386 WVJ589850:WVM589850 WLN589850:WLQ589850 WBR589850:WBU589850 VRV589850:VRY589850 VHZ589850:VIC589850 UYD589850:UYG589850 UOH589850:UOK589850 UEL589850:UEO589850 TUP589850:TUS589850 TKT589850:TKW589850 TAX589850:TBA589850 SRB589850:SRE589850 SHF589850:SHI589850 RXJ589850:RXM589850 RNN589850:RNQ589850 RDR589850:RDU589850 QTV589850:QTY589850 QJZ589850:QKC589850 QAD589850:QAG589850 PQH589850:PQK589850 PGL589850:PGO589850 OWP589850:OWS589850 OMT589850:OMW589850 OCX589850:ODA589850 NTB589850:NTE589850 NJF589850:NJI589850 MZJ589850:MZM589850 MPN589850:MPQ589850 MFR589850:MFU589850 LVV589850:LVY589850 LLZ589850:LMC589850 LCD589850:LCG589850 KSH589850:KSK589850 KIL589850:KIO589850 JYP589850:JYS589850 JOT589850:JOW589850 JEX589850:JFA589850 IVB589850:IVE589850 ILF589850:ILI589850 IBJ589850:IBM589850 HRN589850:HRQ589850 HHR589850:HHU589850 GXV589850:GXY589850 GNZ589850:GOC589850 GED589850:GEG589850 FUH589850:FUK589850 FKL589850:FKO589850 FAP589850:FAS589850 EQT589850:EQW589850 EGX589850:EHA589850 DXB589850:DXE589850 DNF589850:DNI589850 DDJ589850:DDM589850 CTN589850:CTQ589850 CJR589850:CJU589850 BZV589850:BZY589850 BPZ589850:BQC589850 BGD589850:BGG589850 AWH589850:AWK589850 AML589850:AMO589850 ACP589850:ACS589850 ST589850:SW589850 IX589850:JA589850 B589850:E589850 WVJ524314:WVM524314 WLN524314:WLQ524314 WBR524314:WBU524314 VRV524314:VRY524314 VHZ524314:VIC524314 UYD524314:UYG524314 UOH524314:UOK524314 UEL524314:UEO524314 TUP524314:TUS524314 TKT524314:TKW524314 TAX524314:TBA524314 SRB524314:SRE524314 SHF524314:SHI524314 RXJ524314:RXM524314 RNN524314:RNQ524314 RDR524314:RDU524314 QTV524314:QTY524314 QJZ524314:QKC524314 QAD524314:QAG524314 PQH524314:PQK524314 PGL524314:PGO524314 OWP524314:OWS524314 OMT524314:OMW524314 OCX524314:ODA524314 NTB524314:NTE524314 NJF524314:NJI524314 MZJ524314:MZM524314 MPN524314:MPQ524314 MFR524314:MFU524314 LVV524314:LVY524314 LLZ524314:LMC524314 LCD524314:LCG524314 KSH524314:KSK524314 KIL524314:KIO524314 JYP524314:JYS524314 JOT524314:JOW524314 JEX524314:JFA524314 IVB524314:IVE524314 ILF524314:ILI524314 IBJ524314:IBM524314 HRN524314:HRQ524314 HHR524314:HHU524314 GXV524314:GXY524314 GNZ524314:GOC524314 GED524314:GEG524314 FUH524314:FUK524314 FKL524314:FKO524314 FAP524314:FAS524314 EQT524314:EQW524314 EGX524314:EHA524314 DXB524314:DXE524314 DNF524314:DNI524314 DDJ524314:DDM524314 CTN524314:CTQ524314 CJR524314:CJU524314 BZV524314:BZY524314 BPZ524314:BQC524314 BGD524314:BGG524314 AWH524314:AWK524314 AML524314:AMO524314 ACP524314:ACS524314 ST524314:SW524314 IX524314:JA524314 B524314:E524314 WVJ458778:WVM458778 WLN458778:WLQ458778 WBR458778:WBU458778 VRV458778:VRY458778 VHZ458778:VIC458778 UYD458778:UYG458778 UOH458778:UOK458778 UEL458778:UEO458778 TUP458778:TUS458778 TKT458778:TKW458778 TAX458778:TBA458778 SRB458778:SRE458778 SHF458778:SHI458778 RXJ458778:RXM458778 RNN458778:RNQ458778 RDR458778:RDU458778 QTV458778:QTY458778 QJZ458778:QKC458778 QAD458778:QAG458778 PQH458778:PQK458778 PGL458778:PGO458778 OWP458778:OWS458778 OMT458778:OMW458778 OCX458778:ODA458778 NTB458778:NTE458778 NJF458778:NJI458778 MZJ458778:MZM458778 MPN458778:MPQ458778 MFR458778:MFU458778 LVV458778:LVY458778 LLZ458778:LMC458778 LCD458778:LCG458778 KSH458778:KSK458778 KIL458778:KIO458778 JYP458778:JYS458778 JOT458778:JOW458778 JEX458778:JFA458778 IVB458778:IVE458778 ILF458778:ILI458778 IBJ458778:IBM458778 HRN458778:HRQ458778 HHR458778:HHU458778 GXV458778:GXY458778 GNZ458778:GOC458778 GED458778:GEG458778 FUH458778:FUK458778 FKL458778:FKO458778 FAP458778:FAS458778 EQT458778:EQW458778 EGX458778:EHA458778 DXB458778:DXE458778 DNF458778:DNI458778 DDJ458778:DDM458778 CTN458778:CTQ458778 CJR458778:CJU458778 BZV458778:BZY458778 BPZ458778:BQC458778 BGD458778:BGG458778 AWH458778:AWK458778 AML458778:AMO458778 ACP458778:ACS458778 ST458778:SW458778 IX458778:JA458778 B458778:E458778 WVJ393242:WVM393242 WLN393242:WLQ393242 WBR393242:WBU393242 VRV393242:VRY393242 VHZ393242:VIC393242 UYD393242:UYG393242 UOH393242:UOK393242 UEL393242:UEO393242 TUP393242:TUS393242 TKT393242:TKW393242 TAX393242:TBA393242 SRB393242:SRE393242 SHF393242:SHI393242 RXJ393242:RXM393242 RNN393242:RNQ393242 RDR393242:RDU393242 QTV393242:QTY393242 QJZ393242:QKC393242 QAD393242:QAG393242 PQH393242:PQK393242 PGL393242:PGO393242 OWP393242:OWS393242 OMT393242:OMW393242 OCX393242:ODA393242 NTB393242:NTE393242 NJF393242:NJI393242 MZJ393242:MZM393242 MPN393242:MPQ393242 MFR393242:MFU393242 LVV393242:LVY393242 LLZ393242:LMC393242 LCD393242:LCG393242 KSH393242:KSK393242 KIL393242:KIO393242 JYP393242:JYS393242 JOT393242:JOW393242 JEX393242:JFA393242 IVB393242:IVE393242 ILF393242:ILI393242 IBJ393242:IBM393242 HRN393242:HRQ393242 HHR393242:HHU393242 GXV393242:GXY393242 GNZ393242:GOC393242 GED393242:GEG393242 FUH393242:FUK393242 FKL393242:FKO393242 FAP393242:FAS393242 EQT393242:EQW393242 EGX393242:EHA393242 DXB393242:DXE393242 DNF393242:DNI393242 DDJ393242:DDM393242 CTN393242:CTQ393242 CJR393242:CJU393242 BZV393242:BZY393242 BPZ393242:BQC393242 BGD393242:BGG393242 AWH393242:AWK393242 AML393242:AMO393242 ACP393242:ACS393242 ST393242:SW393242 IX393242:JA393242 B393242:E393242 WVJ327706:WVM327706 WLN327706:WLQ327706 WBR327706:WBU327706 VRV327706:VRY327706 VHZ327706:VIC327706 UYD327706:UYG327706 UOH327706:UOK327706 UEL327706:UEO327706 TUP327706:TUS327706 TKT327706:TKW327706 TAX327706:TBA327706 SRB327706:SRE327706 SHF327706:SHI327706 RXJ327706:RXM327706 RNN327706:RNQ327706 RDR327706:RDU327706 QTV327706:QTY327706 QJZ327706:QKC327706 QAD327706:QAG327706 PQH327706:PQK327706 PGL327706:PGO327706 OWP327706:OWS327706 OMT327706:OMW327706 OCX327706:ODA327706 NTB327706:NTE327706 NJF327706:NJI327706 MZJ327706:MZM327706 MPN327706:MPQ327706 MFR327706:MFU327706 LVV327706:LVY327706 LLZ327706:LMC327706 LCD327706:LCG327706 KSH327706:KSK327706 KIL327706:KIO327706 JYP327706:JYS327706 JOT327706:JOW327706 JEX327706:JFA327706 IVB327706:IVE327706 ILF327706:ILI327706 IBJ327706:IBM327706 HRN327706:HRQ327706 HHR327706:HHU327706 GXV327706:GXY327706 GNZ327706:GOC327706 GED327706:GEG327706 FUH327706:FUK327706 FKL327706:FKO327706 FAP327706:FAS327706 EQT327706:EQW327706 EGX327706:EHA327706 DXB327706:DXE327706 DNF327706:DNI327706 DDJ327706:DDM327706 CTN327706:CTQ327706 CJR327706:CJU327706 BZV327706:BZY327706 BPZ327706:BQC327706 BGD327706:BGG327706 AWH327706:AWK327706 AML327706:AMO327706 ACP327706:ACS327706 ST327706:SW327706 IX327706:JA327706 B327706:E327706 WVJ262170:WVM262170 WLN262170:WLQ262170 WBR262170:WBU262170 VRV262170:VRY262170 VHZ262170:VIC262170 UYD262170:UYG262170 UOH262170:UOK262170 UEL262170:UEO262170 TUP262170:TUS262170 TKT262170:TKW262170 TAX262170:TBA262170 SRB262170:SRE262170 SHF262170:SHI262170 RXJ262170:RXM262170 RNN262170:RNQ262170 RDR262170:RDU262170 QTV262170:QTY262170 QJZ262170:QKC262170 QAD262170:QAG262170 PQH262170:PQK262170 PGL262170:PGO262170 OWP262170:OWS262170 OMT262170:OMW262170 OCX262170:ODA262170 NTB262170:NTE262170 NJF262170:NJI262170 MZJ262170:MZM262170 MPN262170:MPQ262170 MFR262170:MFU262170 LVV262170:LVY262170 LLZ262170:LMC262170 LCD262170:LCG262170 KSH262170:KSK262170 KIL262170:KIO262170 JYP262170:JYS262170 JOT262170:JOW262170 JEX262170:JFA262170 IVB262170:IVE262170 ILF262170:ILI262170 IBJ262170:IBM262170 HRN262170:HRQ262170 HHR262170:HHU262170 GXV262170:GXY262170 GNZ262170:GOC262170 GED262170:GEG262170 FUH262170:FUK262170 FKL262170:FKO262170 FAP262170:FAS262170 EQT262170:EQW262170 EGX262170:EHA262170 DXB262170:DXE262170 DNF262170:DNI262170 DDJ262170:DDM262170 CTN262170:CTQ262170 CJR262170:CJU262170 BZV262170:BZY262170 BPZ262170:BQC262170 BGD262170:BGG262170 AWH262170:AWK262170 AML262170:AMO262170 ACP262170:ACS262170 ST262170:SW262170 IX262170:JA262170 B262170:E262170 WVJ196634:WVM196634 WLN196634:WLQ196634 WBR196634:WBU196634 VRV196634:VRY196634 VHZ196634:VIC196634 UYD196634:UYG196634 UOH196634:UOK196634 UEL196634:UEO196634 TUP196634:TUS196634 TKT196634:TKW196634 TAX196634:TBA196634 SRB196634:SRE196634 SHF196634:SHI196634 RXJ196634:RXM196634 RNN196634:RNQ196634 RDR196634:RDU196634 QTV196634:QTY196634 QJZ196634:QKC196634 QAD196634:QAG196634 PQH196634:PQK196634 PGL196634:PGO196634 OWP196634:OWS196634 OMT196634:OMW196634 OCX196634:ODA196634 NTB196634:NTE196634 NJF196634:NJI196634 MZJ196634:MZM196634 MPN196634:MPQ196634 MFR196634:MFU196634 LVV196634:LVY196634 LLZ196634:LMC196634 LCD196634:LCG196634 KSH196634:KSK196634 KIL196634:KIO196634 JYP196634:JYS196634 JOT196634:JOW196634 JEX196634:JFA196634 IVB196634:IVE196634 ILF196634:ILI196634 IBJ196634:IBM196634 HRN196634:HRQ196634 HHR196634:HHU196634 GXV196634:GXY196634 GNZ196634:GOC196634 GED196634:GEG196634 FUH196634:FUK196634 FKL196634:FKO196634 FAP196634:FAS196634 EQT196634:EQW196634 EGX196634:EHA196634 DXB196634:DXE196634 DNF196634:DNI196634 DDJ196634:DDM196634 CTN196634:CTQ196634 CJR196634:CJU196634 BZV196634:BZY196634 BPZ196634:BQC196634 BGD196634:BGG196634 AWH196634:AWK196634 AML196634:AMO196634 ACP196634:ACS196634 ST196634:SW196634 IX196634:JA196634 B196634:E196634 WVJ131098:WVM131098 WLN131098:WLQ131098 WBR131098:WBU131098 VRV131098:VRY131098 VHZ131098:VIC131098 UYD131098:UYG131098 UOH131098:UOK131098 UEL131098:UEO131098 TUP131098:TUS131098 TKT131098:TKW131098 TAX131098:TBA131098 SRB131098:SRE131098 SHF131098:SHI131098 RXJ131098:RXM131098 RNN131098:RNQ131098 RDR131098:RDU131098 QTV131098:QTY131098 QJZ131098:QKC131098 QAD131098:QAG131098 PQH131098:PQK131098 PGL131098:PGO131098 OWP131098:OWS131098 OMT131098:OMW131098 OCX131098:ODA131098 NTB131098:NTE131098 NJF131098:NJI131098 MZJ131098:MZM131098 MPN131098:MPQ131098 MFR131098:MFU131098 LVV131098:LVY131098 LLZ131098:LMC131098 LCD131098:LCG131098 KSH131098:KSK131098 KIL131098:KIO131098 JYP131098:JYS131098 JOT131098:JOW131098 JEX131098:JFA131098 IVB131098:IVE131098 ILF131098:ILI131098 IBJ131098:IBM131098 HRN131098:HRQ131098 HHR131098:HHU131098 GXV131098:GXY131098 GNZ131098:GOC131098 GED131098:GEG131098 FUH131098:FUK131098 FKL131098:FKO131098 FAP131098:FAS131098 EQT131098:EQW131098 EGX131098:EHA131098 DXB131098:DXE131098 DNF131098:DNI131098 DDJ131098:DDM131098 CTN131098:CTQ131098 CJR131098:CJU131098 BZV131098:BZY131098 BPZ131098:BQC131098 BGD131098:BGG131098 AWH131098:AWK131098 AML131098:AMO131098 ACP131098:ACS131098 ST131098:SW131098 IX131098:JA131098 B131098:E131098 WVJ65562:WVM65562 WLN65562:WLQ65562 WBR65562:WBU65562 VRV65562:VRY65562 VHZ65562:VIC65562 UYD65562:UYG65562 UOH65562:UOK65562 UEL65562:UEO65562 TUP65562:TUS65562 TKT65562:TKW65562 TAX65562:TBA65562 SRB65562:SRE65562 SHF65562:SHI65562 RXJ65562:RXM65562 RNN65562:RNQ65562 RDR65562:RDU65562 QTV65562:QTY65562 QJZ65562:QKC65562 QAD65562:QAG65562 PQH65562:PQK65562 PGL65562:PGO65562 OWP65562:OWS65562 OMT65562:OMW65562 OCX65562:ODA65562 NTB65562:NTE65562 NJF65562:NJI65562 MZJ65562:MZM65562 MPN65562:MPQ65562 MFR65562:MFU65562 LVV65562:LVY65562 LLZ65562:LMC65562 LCD65562:LCG65562 KSH65562:KSK65562 KIL65562:KIO65562 JYP65562:JYS65562 JOT65562:JOW65562 JEX65562:JFA65562 IVB65562:IVE65562 ILF65562:ILI65562 IBJ65562:IBM65562 HRN65562:HRQ65562 HHR65562:HHU65562 GXV65562:GXY65562 GNZ65562:GOC65562 GED65562:GEG65562 FUH65562:FUK65562 FKL65562:FKO65562 FAP65562:FAS65562 EQT65562:EQW65562 EGX65562:EHA65562 DXB65562:DXE65562 DNF65562:DNI65562 DDJ65562:DDM65562 CTN65562:CTQ65562 CJR65562:CJU65562 BZV65562:BZY65562 BPZ65562:BQC65562 BGD65562:BGG65562 AWH65562:AWK65562 AML65562:AMO65562 ACP65562:ACS65562 ST65562:SW65562 IX65562:JA65562 B65562:E65562 WVJ26:WVM26 WLN26:WLQ26 WBR26:WBU26 VRV26:VRY26 VHZ26:VIC26 UYD26:UYG26 UOH26:UOK26 UEL26:UEO26 TUP26:TUS26 TKT26:TKW26 TAX26:TBA26 SRB26:SRE26 SHF26:SHI26 RXJ26:RXM26 RNN26:RNQ26 RDR26:RDU26 QTV26:QTY26 QJZ26:QKC26 QAD26:QAG26 PQH26:PQK26 PGL26:PGO26 OWP26:OWS26 OMT26:OMW26 OCX26:ODA26 NTB26:NTE26 NJF26:NJI26 MZJ26:MZM26 MPN26:MPQ26 MFR26:MFU26 LVV26:LVY26 LLZ26:LMC26 LCD26:LCG26 KSH26:KSK26 KIL26:KIO26 JYP26:JYS26 JOT26:JOW26 JEX26:JFA26 IVB26:IVE26 ILF26:ILI26 IBJ26:IBM26 HRN26:HRQ26 HHR26:HHU26 GXV26:GXY26 GNZ26:GOC26 GED26:GEG26 FUH26:FUK26 FKL26:FKO26 FAP26:FAS26 EQT26:EQW26 EGX26:EHA26 DXB26:DXE26 DNF26:DNI26 DDJ26:DDM26 CTN26:CTQ26 CJR26:CJU26 BZV26:BZY26 BPZ26:BQC26 BGD26:BGG26 AWH26:AWK26 AML26:AMO26 ACP26:ACS26 ST26:SW26 IX26:JA26">
      <formula1>0</formula1>
      <formula2>0</formula2>
    </dataValidation>
    <dataValidation allowBlank="1" showInputMessage="1" showErrorMessage="1" promptTitle="PCL sheet name" prompt=" " sqref="F26:G26 WVN983066:WVO983066 WLR983066:WLS983066 WBV983066:WBW983066 VRZ983066:VSA983066 VID983066:VIE983066 UYH983066:UYI983066 UOL983066:UOM983066 UEP983066:UEQ983066 TUT983066:TUU983066 TKX983066:TKY983066 TBB983066:TBC983066 SRF983066:SRG983066 SHJ983066:SHK983066 RXN983066:RXO983066 RNR983066:RNS983066 RDV983066:RDW983066 QTZ983066:QUA983066 QKD983066:QKE983066 QAH983066:QAI983066 PQL983066:PQM983066 PGP983066:PGQ983066 OWT983066:OWU983066 OMX983066:OMY983066 ODB983066:ODC983066 NTF983066:NTG983066 NJJ983066:NJK983066 MZN983066:MZO983066 MPR983066:MPS983066 MFV983066:MFW983066 LVZ983066:LWA983066 LMD983066:LME983066 LCH983066:LCI983066 KSL983066:KSM983066 KIP983066:KIQ983066 JYT983066:JYU983066 JOX983066:JOY983066 JFB983066:JFC983066 IVF983066:IVG983066 ILJ983066:ILK983066 IBN983066:IBO983066 HRR983066:HRS983066 HHV983066:HHW983066 GXZ983066:GYA983066 GOD983066:GOE983066 GEH983066:GEI983066 FUL983066:FUM983066 FKP983066:FKQ983066 FAT983066:FAU983066 EQX983066:EQY983066 EHB983066:EHC983066 DXF983066:DXG983066 DNJ983066:DNK983066 DDN983066:DDO983066 CTR983066:CTS983066 CJV983066:CJW983066 BZZ983066:CAA983066 BQD983066:BQE983066 BGH983066:BGI983066 AWL983066:AWM983066 AMP983066:AMQ983066 ACT983066:ACU983066 SX983066:SY983066 JB983066:JC983066 F983066:G983066 WVN917530:WVO917530 WLR917530:WLS917530 WBV917530:WBW917530 VRZ917530:VSA917530 VID917530:VIE917530 UYH917530:UYI917530 UOL917530:UOM917530 UEP917530:UEQ917530 TUT917530:TUU917530 TKX917530:TKY917530 TBB917530:TBC917530 SRF917530:SRG917530 SHJ917530:SHK917530 RXN917530:RXO917530 RNR917530:RNS917530 RDV917530:RDW917530 QTZ917530:QUA917530 QKD917530:QKE917530 QAH917530:QAI917530 PQL917530:PQM917530 PGP917530:PGQ917530 OWT917530:OWU917530 OMX917530:OMY917530 ODB917530:ODC917530 NTF917530:NTG917530 NJJ917530:NJK917530 MZN917530:MZO917530 MPR917530:MPS917530 MFV917530:MFW917530 LVZ917530:LWA917530 LMD917530:LME917530 LCH917530:LCI917530 KSL917530:KSM917530 KIP917530:KIQ917530 JYT917530:JYU917530 JOX917530:JOY917530 JFB917530:JFC917530 IVF917530:IVG917530 ILJ917530:ILK917530 IBN917530:IBO917530 HRR917530:HRS917530 HHV917530:HHW917530 GXZ917530:GYA917530 GOD917530:GOE917530 GEH917530:GEI917530 FUL917530:FUM917530 FKP917530:FKQ917530 FAT917530:FAU917530 EQX917530:EQY917530 EHB917530:EHC917530 DXF917530:DXG917530 DNJ917530:DNK917530 DDN917530:DDO917530 CTR917530:CTS917530 CJV917530:CJW917530 BZZ917530:CAA917530 BQD917530:BQE917530 BGH917530:BGI917530 AWL917530:AWM917530 AMP917530:AMQ917530 ACT917530:ACU917530 SX917530:SY917530 JB917530:JC917530 F917530:G917530 WVN851994:WVO851994 WLR851994:WLS851994 WBV851994:WBW851994 VRZ851994:VSA851994 VID851994:VIE851994 UYH851994:UYI851994 UOL851994:UOM851994 UEP851994:UEQ851994 TUT851994:TUU851994 TKX851994:TKY851994 TBB851994:TBC851994 SRF851994:SRG851994 SHJ851994:SHK851994 RXN851994:RXO851994 RNR851994:RNS851994 RDV851994:RDW851994 QTZ851994:QUA851994 QKD851994:QKE851994 QAH851994:QAI851994 PQL851994:PQM851994 PGP851994:PGQ851994 OWT851994:OWU851994 OMX851994:OMY851994 ODB851994:ODC851994 NTF851994:NTG851994 NJJ851994:NJK851994 MZN851994:MZO851994 MPR851994:MPS851994 MFV851994:MFW851994 LVZ851994:LWA851994 LMD851994:LME851994 LCH851994:LCI851994 KSL851994:KSM851994 KIP851994:KIQ851994 JYT851994:JYU851994 JOX851994:JOY851994 JFB851994:JFC851994 IVF851994:IVG851994 ILJ851994:ILK851994 IBN851994:IBO851994 HRR851994:HRS851994 HHV851994:HHW851994 GXZ851994:GYA851994 GOD851994:GOE851994 GEH851994:GEI851994 FUL851994:FUM851994 FKP851994:FKQ851994 FAT851994:FAU851994 EQX851994:EQY851994 EHB851994:EHC851994 DXF851994:DXG851994 DNJ851994:DNK851994 DDN851994:DDO851994 CTR851994:CTS851994 CJV851994:CJW851994 BZZ851994:CAA851994 BQD851994:BQE851994 BGH851994:BGI851994 AWL851994:AWM851994 AMP851994:AMQ851994 ACT851994:ACU851994 SX851994:SY851994 JB851994:JC851994 F851994:G851994 WVN786458:WVO786458 WLR786458:WLS786458 WBV786458:WBW786458 VRZ786458:VSA786458 VID786458:VIE786458 UYH786458:UYI786458 UOL786458:UOM786458 UEP786458:UEQ786458 TUT786458:TUU786458 TKX786458:TKY786458 TBB786458:TBC786458 SRF786458:SRG786458 SHJ786458:SHK786458 RXN786458:RXO786458 RNR786458:RNS786458 RDV786458:RDW786458 QTZ786458:QUA786458 QKD786458:QKE786458 QAH786458:QAI786458 PQL786458:PQM786458 PGP786458:PGQ786458 OWT786458:OWU786458 OMX786458:OMY786458 ODB786458:ODC786458 NTF786458:NTG786458 NJJ786458:NJK786458 MZN786458:MZO786458 MPR786458:MPS786458 MFV786458:MFW786458 LVZ786458:LWA786458 LMD786458:LME786458 LCH786458:LCI786458 KSL786458:KSM786458 KIP786458:KIQ786458 JYT786458:JYU786458 JOX786458:JOY786458 JFB786458:JFC786458 IVF786458:IVG786458 ILJ786458:ILK786458 IBN786458:IBO786458 HRR786458:HRS786458 HHV786458:HHW786458 GXZ786458:GYA786458 GOD786458:GOE786458 GEH786458:GEI786458 FUL786458:FUM786458 FKP786458:FKQ786458 FAT786458:FAU786458 EQX786458:EQY786458 EHB786458:EHC786458 DXF786458:DXG786458 DNJ786458:DNK786458 DDN786458:DDO786458 CTR786458:CTS786458 CJV786458:CJW786458 BZZ786458:CAA786458 BQD786458:BQE786458 BGH786458:BGI786458 AWL786458:AWM786458 AMP786458:AMQ786458 ACT786458:ACU786458 SX786458:SY786458 JB786458:JC786458 F786458:G786458 WVN720922:WVO720922 WLR720922:WLS720922 WBV720922:WBW720922 VRZ720922:VSA720922 VID720922:VIE720922 UYH720922:UYI720922 UOL720922:UOM720922 UEP720922:UEQ720922 TUT720922:TUU720922 TKX720922:TKY720922 TBB720922:TBC720922 SRF720922:SRG720922 SHJ720922:SHK720922 RXN720922:RXO720922 RNR720922:RNS720922 RDV720922:RDW720922 QTZ720922:QUA720922 QKD720922:QKE720922 QAH720922:QAI720922 PQL720922:PQM720922 PGP720922:PGQ720922 OWT720922:OWU720922 OMX720922:OMY720922 ODB720922:ODC720922 NTF720922:NTG720922 NJJ720922:NJK720922 MZN720922:MZO720922 MPR720922:MPS720922 MFV720922:MFW720922 LVZ720922:LWA720922 LMD720922:LME720922 LCH720922:LCI720922 KSL720922:KSM720922 KIP720922:KIQ720922 JYT720922:JYU720922 JOX720922:JOY720922 JFB720922:JFC720922 IVF720922:IVG720922 ILJ720922:ILK720922 IBN720922:IBO720922 HRR720922:HRS720922 HHV720922:HHW720922 GXZ720922:GYA720922 GOD720922:GOE720922 GEH720922:GEI720922 FUL720922:FUM720922 FKP720922:FKQ720922 FAT720922:FAU720922 EQX720922:EQY720922 EHB720922:EHC720922 DXF720922:DXG720922 DNJ720922:DNK720922 DDN720922:DDO720922 CTR720922:CTS720922 CJV720922:CJW720922 BZZ720922:CAA720922 BQD720922:BQE720922 BGH720922:BGI720922 AWL720922:AWM720922 AMP720922:AMQ720922 ACT720922:ACU720922 SX720922:SY720922 JB720922:JC720922 F720922:G720922 WVN655386:WVO655386 WLR655386:WLS655386 WBV655386:WBW655386 VRZ655386:VSA655386 VID655386:VIE655386 UYH655386:UYI655386 UOL655386:UOM655386 UEP655386:UEQ655386 TUT655386:TUU655386 TKX655386:TKY655386 TBB655386:TBC655386 SRF655386:SRG655386 SHJ655386:SHK655386 RXN655386:RXO655386 RNR655386:RNS655386 RDV655386:RDW655386 QTZ655386:QUA655386 QKD655386:QKE655386 QAH655386:QAI655386 PQL655386:PQM655386 PGP655386:PGQ655386 OWT655386:OWU655386 OMX655386:OMY655386 ODB655386:ODC655386 NTF655386:NTG655386 NJJ655386:NJK655386 MZN655386:MZO655386 MPR655386:MPS655386 MFV655386:MFW655386 LVZ655386:LWA655386 LMD655386:LME655386 LCH655386:LCI655386 KSL655386:KSM655386 KIP655386:KIQ655386 JYT655386:JYU655386 JOX655386:JOY655386 JFB655386:JFC655386 IVF655386:IVG655386 ILJ655386:ILK655386 IBN655386:IBO655386 HRR655386:HRS655386 HHV655386:HHW655386 GXZ655386:GYA655386 GOD655386:GOE655386 GEH655386:GEI655386 FUL655386:FUM655386 FKP655386:FKQ655386 FAT655386:FAU655386 EQX655386:EQY655386 EHB655386:EHC655386 DXF655386:DXG655386 DNJ655386:DNK655386 DDN655386:DDO655386 CTR655386:CTS655386 CJV655386:CJW655386 BZZ655386:CAA655386 BQD655386:BQE655386 BGH655386:BGI655386 AWL655386:AWM655386 AMP655386:AMQ655386 ACT655386:ACU655386 SX655386:SY655386 JB655386:JC655386 F655386:G655386 WVN589850:WVO589850 WLR589850:WLS589850 WBV589850:WBW589850 VRZ589850:VSA589850 VID589850:VIE589850 UYH589850:UYI589850 UOL589850:UOM589850 UEP589850:UEQ589850 TUT589850:TUU589850 TKX589850:TKY589850 TBB589850:TBC589850 SRF589850:SRG589850 SHJ589850:SHK589850 RXN589850:RXO589850 RNR589850:RNS589850 RDV589850:RDW589850 QTZ589850:QUA589850 QKD589850:QKE589850 QAH589850:QAI589850 PQL589850:PQM589850 PGP589850:PGQ589850 OWT589850:OWU589850 OMX589850:OMY589850 ODB589850:ODC589850 NTF589850:NTG589850 NJJ589850:NJK589850 MZN589850:MZO589850 MPR589850:MPS589850 MFV589850:MFW589850 LVZ589850:LWA589850 LMD589850:LME589850 LCH589850:LCI589850 KSL589850:KSM589850 KIP589850:KIQ589850 JYT589850:JYU589850 JOX589850:JOY589850 JFB589850:JFC589850 IVF589850:IVG589850 ILJ589850:ILK589850 IBN589850:IBO589850 HRR589850:HRS589850 HHV589850:HHW589850 GXZ589850:GYA589850 GOD589850:GOE589850 GEH589850:GEI589850 FUL589850:FUM589850 FKP589850:FKQ589850 FAT589850:FAU589850 EQX589850:EQY589850 EHB589850:EHC589850 DXF589850:DXG589850 DNJ589850:DNK589850 DDN589850:DDO589850 CTR589850:CTS589850 CJV589850:CJW589850 BZZ589850:CAA589850 BQD589850:BQE589850 BGH589850:BGI589850 AWL589850:AWM589850 AMP589850:AMQ589850 ACT589850:ACU589850 SX589850:SY589850 JB589850:JC589850 F589850:G589850 WVN524314:WVO524314 WLR524314:WLS524314 WBV524314:WBW524314 VRZ524314:VSA524314 VID524314:VIE524314 UYH524314:UYI524314 UOL524314:UOM524314 UEP524314:UEQ524314 TUT524314:TUU524314 TKX524314:TKY524314 TBB524314:TBC524314 SRF524314:SRG524314 SHJ524314:SHK524314 RXN524314:RXO524314 RNR524314:RNS524314 RDV524314:RDW524314 QTZ524314:QUA524314 QKD524314:QKE524314 QAH524314:QAI524314 PQL524314:PQM524314 PGP524314:PGQ524314 OWT524314:OWU524314 OMX524314:OMY524314 ODB524314:ODC524314 NTF524314:NTG524314 NJJ524314:NJK524314 MZN524314:MZO524314 MPR524314:MPS524314 MFV524314:MFW524314 LVZ524314:LWA524314 LMD524314:LME524314 LCH524314:LCI524314 KSL524314:KSM524314 KIP524314:KIQ524314 JYT524314:JYU524314 JOX524314:JOY524314 JFB524314:JFC524314 IVF524314:IVG524314 ILJ524314:ILK524314 IBN524314:IBO524314 HRR524314:HRS524314 HHV524314:HHW524314 GXZ524314:GYA524314 GOD524314:GOE524314 GEH524314:GEI524314 FUL524314:FUM524314 FKP524314:FKQ524314 FAT524314:FAU524314 EQX524314:EQY524314 EHB524314:EHC524314 DXF524314:DXG524314 DNJ524314:DNK524314 DDN524314:DDO524314 CTR524314:CTS524314 CJV524314:CJW524314 BZZ524314:CAA524314 BQD524314:BQE524314 BGH524314:BGI524314 AWL524314:AWM524314 AMP524314:AMQ524314 ACT524314:ACU524314 SX524314:SY524314 JB524314:JC524314 F524314:G524314 WVN458778:WVO458778 WLR458778:WLS458778 WBV458778:WBW458778 VRZ458778:VSA458778 VID458778:VIE458778 UYH458778:UYI458778 UOL458778:UOM458778 UEP458778:UEQ458778 TUT458778:TUU458778 TKX458778:TKY458778 TBB458778:TBC458778 SRF458778:SRG458778 SHJ458778:SHK458778 RXN458778:RXO458778 RNR458778:RNS458778 RDV458778:RDW458778 QTZ458778:QUA458778 QKD458778:QKE458778 QAH458778:QAI458778 PQL458778:PQM458778 PGP458778:PGQ458778 OWT458778:OWU458778 OMX458778:OMY458778 ODB458778:ODC458778 NTF458778:NTG458778 NJJ458778:NJK458778 MZN458778:MZO458778 MPR458778:MPS458778 MFV458778:MFW458778 LVZ458778:LWA458778 LMD458778:LME458778 LCH458778:LCI458778 KSL458778:KSM458778 KIP458778:KIQ458778 JYT458778:JYU458778 JOX458778:JOY458778 JFB458778:JFC458778 IVF458778:IVG458778 ILJ458778:ILK458778 IBN458778:IBO458778 HRR458778:HRS458778 HHV458778:HHW458778 GXZ458778:GYA458778 GOD458778:GOE458778 GEH458778:GEI458778 FUL458778:FUM458778 FKP458778:FKQ458778 FAT458778:FAU458778 EQX458778:EQY458778 EHB458778:EHC458778 DXF458778:DXG458778 DNJ458778:DNK458778 DDN458778:DDO458778 CTR458778:CTS458778 CJV458778:CJW458778 BZZ458778:CAA458778 BQD458778:BQE458778 BGH458778:BGI458778 AWL458778:AWM458778 AMP458778:AMQ458778 ACT458778:ACU458778 SX458778:SY458778 JB458778:JC458778 F458778:G458778 WVN393242:WVO393242 WLR393242:WLS393242 WBV393242:WBW393242 VRZ393242:VSA393242 VID393242:VIE393242 UYH393242:UYI393242 UOL393242:UOM393242 UEP393242:UEQ393242 TUT393242:TUU393242 TKX393242:TKY393242 TBB393242:TBC393242 SRF393242:SRG393242 SHJ393242:SHK393242 RXN393242:RXO393242 RNR393242:RNS393242 RDV393242:RDW393242 QTZ393242:QUA393242 QKD393242:QKE393242 QAH393242:QAI393242 PQL393242:PQM393242 PGP393242:PGQ393242 OWT393242:OWU393242 OMX393242:OMY393242 ODB393242:ODC393242 NTF393242:NTG393242 NJJ393242:NJK393242 MZN393242:MZO393242 MPR393242:MPS393242 MFV393242:MFW393242 LVZ393242:LWA393242 LMD393242:LME393242 LCH393242:LCI393242 KSL393242:KSM393242 KIP393242:KIQ393242 JYT393242:JYU393242 JOX393242:JOY393242 JFB393242:JFC393242 IVF393242:IVG393242 ILJ393242:ILK393242 IBN393242:IBO393242 HRR393242:HRS393242 HHV393242:HHW393242 GXZ393242:GYA393242 GOD393242:GOE393242 GEH393242:GEI393242 FUL393242:FUM393242 FKP393242:FKQ393242 FAT393242:FAU393242 EQX393242:EQY393242 EHB393242:EHC393242 DXF393242:DXG393242 DNJ393242:DNK393242 DDN393242:DDO393242 CTR393242:CTS393242 CJV393242:CJW393242 BZZ393242:CAA393242 BQD393242:BQE393242 BGH393242:BGI393242 AWL393242:AWM393242 AMP393242:AMQ393242 ACT393242:ACU393242 SX393242:SY393242 JB393242:JC393242 F393242:G393242 WVN327706:WVO327706 WLR327706:WLS327706 WBV327706:WBW327706 VRZ327706:VSA327706 VID327706:VIE327706 UYH327706:UYI327706 UOL327706:UOM327706 UEP327706:UEQ327706 TUT327706:TUU327706 TKX327706:TKY327706 TBB327706:TBC327706 SRF327706:SRG327706 SHJ327706:SHK327706 RXN327706:RXO327706 RNR327706:RNS327706 RDV327706:RDW327706 QTZ327706:QUA327706 QKD327706:QKE327706 QAH327706:QAI327706 PQL327706:PQM327706 PGP327706:PGQ327706 OWT327706:OWU327706 OMX327706:OMY327706 ODB327706:ODC327706 NTF327706:NTG327706 NJJ327706:NJK327706 MZN327706:MZO327706 MPR327706:MPS327706 MFV327706:MFW327706 LVZ327706:LWA327706 LMD327706:LME327706 LCH327706:LCI327706 KSL327706:KSM327706 KIP327706:KIQ327706 JYT327706:JYU327706 JOX327706:JOY327706 JFB327706:JFC327706 IVF327706:IVG327706 ILJ327706:ILK327706 IBN327706:IBO327706 HRR327706:HRS327706 HHV327706:HHW327706 GXZ327706:GYA327706 GOD327706:GOE327706 GEH327706:GEI327706 FUL327706:FUM327706 FKP327706:FKQ327706 FAT327706:FAU327706 EQX327706:EQY327706 EHB327706:EHC327706 DXF327706:DXG327706 DNJ327706:DNK327706 DDN327706:DDO327706 CTR327706:CTS327706 CJV327706:CJW327706 BZZ327706:CAA327706 BQD327706:BQE327706 BGH327706:BGI327706 AWL327706:AWM327706 AMP327706:AMQ327706 ACT327706:ACU327706 SX327706:SY327706 JB327706:JC327706 F327706:G327706 WVN262170:WVO262170 WLR262170:WLS262170 WBV262170:WBW262170 VRZ262170:VSA262170 VID262170:VIE262170 UYH262170:UYI262170 UOL262170:UOM262170 UEP262170:UEQ262170 TUT262170:TUU262170 TKX262170:TKY262170 TBB262170:TBC262170 SRF262170:SRG262170 SHJ262170:SHK262170 RXN262170:RXO262170 RNR262170:RNS262170 RDV262170:RDW262170 QTZ262170:QUA262170 QKD262170:QKE262170 QAH262170:QAI262170 PQL262170:PQM262170 PGP262170:PGQ262170 OWT262170:OWU262170 OMX262170:OMY262170 ODB262170:ODC262170 NTF262170:NTG262170 NJJ262170:NJK262170 MZN262170:MZO262170 MPR262170:MPS262170 MFV262170:MFW262170 LVZ262170:LWA262170 LMD262170:LME262170 LCH262170:LCI262170 KSL262170:KSM262170 KIP262170:KIQ262170 JYT262170:JYU262170 JOX262170:JOY262170 JFB262170:JFC262170 IVF262170:IVG262170 ILJ262170:ILK262170 IBN262170:IBO262170 HRR262170:HRS262170 HHV262170:HHW262170 GXZ262170:GYA262170 GOD262170:GOE262170 GEH262170:GEI262170 FUL262170:FUM262170 FKP262170:FKQ262170 FAT262170:FAU262170 EQX262170:EQY262170 EHB262170:EHC262170 DXF262170:DXG262170 DNJ262170:DNK262170 DDN262170:DDO262170 CTR262170:CTS262170 CJV262170:CJW262170 BZZ262170:CAA262170 BQD262170:BQE262170 BGH262170:BGI262170 AWL262170:AWM262170 AMP262170:AMQ262170 ACT262170:ACU262170 SX262170:SY262170 JB262170:JC262170 F262170:G262170 WVN196634:WVO196634 WLR196634:WLS196634 WBV196634:WBW196634 VRZ196634:VSA196634 VID196634:VIE196634 UYH196634:UYI196634 UOL196634:UOM196634 UEP196634:UEQ196634 TUT196634:TUU196634 TKX196634:TKY196634 TBB196634:TBC196634 SRF196634:SRG196634 SHJ196634:SHK196634 RXN196634:RXO196634 RNR196634:RNS196634 RDV196634:RDW196634 QTZ196634:QUA196634 QKD196634:QKE196634 QAH196634:QAI196634 PQL196634:PQM196634 PGP196634:PGQ196634 OWT196634:OWU196634 OMX196634:OMY196634 ODB196634:ODC196634 NTF196634:NTG196634 NJJ196634:NJK196634 MZN196634:MZO196634 MPR196634:MPS196634 MFV196634:MFW196634 LVZ196634:LWA196634 LMD196634:LME196634 LCH196634:LCI196634 KSL196634:KSM196634 KIP196634:KIQ196634 JYT196634:JYU196634 JOX196634:JOY196634 JFB196634:JFC196634 IVF196634:IVG196634 ILJ196634:ILK196634 IBN196634:IBO196634 HRR196634:HRS196634 HHV196634:HHW196634 GXZ196634:GYA196634 GOD196634:GOE196634 GEH196634:GEI196634 FUL196634:FUM196634 FKP196634:FKQ196634 FAT196634:FAU196634 EQX196634:EQY196634 EHB196634:EHC196634 DXF196634:DXG196634 DNJ196634:DNK196634 DDN196634:DDO196634 CTR196634:CTS196634 CJV196634:CJW196634 BZZ196634:CAA196634 BQD196634:BQE196634 BGH196634:BGI196634 AWL196634:AWM196634 AMP196634:AMQ196634 ACT196634:ACU196634 SX196634:SY196634 JB196634:JC196634 F196634:G196634 WVN131098:WVO131098 WLR131098:WLS131098 WBV131098:WBW131098 VRZ131098:VSA131098 VID131098:VIE131098 UYH131098:UYI131098 UOL131098:UOM131098 UEP131098:UEQ131098 TUT131098:TUU131098 TKX131098:TKY131098 TBB131098:TBC131098 SRF131098:SRG131098 SHJ131098:SHK131098 RXN131098:RXO131098 RNR131098:RNS131098 RDV131098:RDW131098 QTZ131098:QUA131098 QKD131098:QKE131098 QAH131098:QAI131098 PQL131098:PQM131098 PGP131098:PGQ131098 OWT131098:OWU131098 OMX131098:OMY131098 ODB131098:ODC131098 NTF131098:NTG131098 NJJ131098:NJK131098 MZN131098:MZO131098 MPR131098:MPS131098 MFV131098:MFW131098 LVZ131098:LWA131098 LMD131098:LME131098 LCH131098:LCI131098 KSL131098:KSM131098 KIP131098:KIQ131098 JYT131098:JYU131098 JOX131098:JOY131098 JFB131098:JFC131098 IVF131098:IVG131098 ILJ131098:ILK131098 IBN131098:IBO131098 HRR131098:HRS131098 HHV131098:HHW131098 GXZ131098:GYA131098 GOD131098:GOE131098 GEH131098:GEI131098 FUL131098:FUM131098 FKP131098:FKQ131098 FAT131098:FAU131098 EQX131098:EQY131098 EHB131098:EHC131098 DXF131098:DXG131098 DNJ131098:DNK131098 DDN131098:DDO131098 CTR131098:CTS131098 CJV131098:CJW131098 BZZ131098:CAA131098 BQD131098:BQE131098 BGH131098:BGI131098 AWL131098:AWM131098 AMP131098:AMQ131098 ACT131098:ACU131098 SX131098:SY131098 JB131098:JC131098 F131098:G131098 WVN65562:WVO65562 WLR65562:WLS65562 WBV65562:WBW65562 VRZ65562:VSA65562 VID65562:VIE65562 UYH65562:UYI65562 UOL65562:UOM65562 UEP65562:UEQ65562 TUT65562:TUU65562 TKX65562:TKY65562 TBB65562:TBC65562 SRF65562:SRG65562 SHJ65562:SHK65562 RXN65562:RXO65562 RNR65562:RNS65562 RDV65562:RDW65562 QTZ65562:QUA65562 QKD65562:QKE65562 QAH65562:QAI65562 PQL65562:PQM65562 PGP65562:PGQ65562 OWT65562:OWU65562 OMX65562:OMY65562 ODB65562:ODC65562 NTF65562:NTG65562 NJJ65562:NJK65562 MZN65562:MZO65562 MPR65562:MPS65562 MFV65562:MFW65562 LVZ65562:LWA65562 LMD65562:LME65562 LCH65562:LCI65562 KSL65562:KSM65562 KIP65562:KIQ65562 JYT65562:JYU65562 JOX65562:JOY65562 JFB65562:JFC65562 IVF65562:IVG65562 ILJ65562:ILK65562 IBN65562:IBO65562 HRR65562:HRS65562 HHV65562:HHW65562 GXZ65562:GYA65562 GOD65562:GOE65562 GEH65562:GEI65562 FUL65562:FUM65562 FKP65562:FKQ65562 FAT65562:FAU65562 EQX65562:EQY65562 EHB65562:EHC65562 DXF65562:DXG65562 DNJ65562:DNK65562 DDN65562:DDO65562 CTR65562:CTS65562 CJV65562:CJW65562 BZZ65562:CAA65562 BQD65562:BQE65562 BGH65562:BGI65562 AWL65562:AWM65562 AMP65562:AMQ65562 ACT65562:ACU65562 SX65562:SY65562 JB65562:JC65562 F65562:G65562 WVN26:WVO26 WLR26:WLS26 WBV26:WBW26 VRZ26:VSA26 VID26:VIE26 UYH26:UYI26 UOL26:UOM26 UEP26:UEQ26 TUT26:TUU26 TKX26:TKY26 TBB26:TBC26 SRF26:SRG26 SHJ26:SHK26 RXN26:RXO26 RNR26:RNS26 RDV26:RDW26 QTZ26:QUA26 QKD26:QKE26 QAH26:QAI26 PQL26:PQM26 PGP26:PGQ26 OWT26:OWU26 OMX26:OMY26 ODB26:ODC26 NTF26:NTG26 NJJ26:NJK26 MZN26:MZO26 MPR26:MPS26 MFV26:MFW26 LVZ26:LWA26 LMD26:LME26 LCH26:LCI26 KSL26:KSM26 KIP26:KIQ26 JYT26:JYU26 JOX26:JOY26 JFB26:JFC26 IVF26:IVG26 ILJ26:ILK26 IBN26:IBO26 HRR26:HRS26 HHV26:HHW26 GXZ26:GYA26 GOD26:GOE26 GEH26:GEI26 FUL26:FUM26 FKP26:FKQ26 FAT26:FAU26 EQX26:EQY26 EHB26:EHC26 DXF26:DXG26 DNJ26:DNK26 DDN26:DDO26 CTR26:CTS26 CJV26:CJW26 BZZ26:CAA26 BQD26:BQE26 BGH26:BGI26 AWL26:AWM26 AMP26:AMQ26 ACT26:ACU26 SX26:SY26 JB26:JC26">
      <formula1>0</formula1>
      <formula2>0</formula2>
    </dataValidation>
  </dataValidations>
  <pageMargins left="0.78749999999999998" right="0.78749999999999998" top="1.0527777777777778" bottom="1.0527777777777778" header="0.78749999999999998" footer="0.78749999999999998"/>
  <pageSetup paperSize="9" scale="42" firstPageNumber="0" orientation="portrait" horizontalDpi="300" verticalDpi="300" r:id="rId1"/>
  <headerFooter alignWithMargins="0">
    <oddHeader>&amp;C&amp;"Times New Roman,標準"&amp;12&amp;A</oddHeader>
    <oddFooter>&amp;C&amp;"Times New Roman,標準"&amp;12ページ &amp;P</oddFooter>
  </headerFooter>
  <legacyDrawing r:id="rId2"/>
</worksheet>
</file>

<file path=xl/worksheets/sheet8.xml><?xml version="1.0" encoding="utf-8"?>
<worksheet xmlns="http://schemas.openxmlformats.org/spreadsheetml/2006/main" xmlns:r="http://schemas.openxmlformats.org/officeDocument/2006/relationships">
  <dimension ref="C5:D99"/>
  <sheetViews>
    <sheetView workbookViewId="0">
      <selection activeCell="C119" sqref="C119"/>
    </sheetView>
  </sheetViews>
  <sheetFormatPr defaultRowHeight="13.5"/>
  <cols>
    <col min="3" max="3" width="18" customWidth="1"/>
    <col min="4" max="4" width="27.25" customWidth="1"/>
  </cols>
  <sheetData>
    <row r="5" spans="3:4">
      <c r="C5" s="98" t="s">
        <v>158</v>
      </c>
      <c r="D5" t="s">
        <v>159</v>
      </c>
    </row>
    <row r="52" spans="3:4">
      <c r="C52" s="98" t="s">
        <v>160</v>
      </c>
      <c r="D52" t="s">
        <v>161</v>
      </c>
    </row>
    <row r="99" spans="3:4">
      <c r="C99" s="98" t="s">
        <v>162</v>
      </c>
      <c r="D99" t="s">
        <v>163</v>
      </c>
    </row>
  </sheetData>
  <phoneticPr fontId="3"/>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33</vt:i4>
      </vt:variant>
    </vt:vector>
  </HeadingPairs>
  <TitlesOfParts>
    <vt:vector size="41" baseType="lpstr">
      <vt:lpstr>Assignment</vt:lpstr>
      <vt:lpstr>Summary</vt:lpstr>
      <vt:lpstr>Template</vt:lpstr>
      <vt:lpstr>Page_Load</vt:lpstr>
      <vt:lpstr>Submit_Click</vt:lpstr>
      <vt:lpstr>Clear_Click</vt:lpstr>
      <vt:lpstr>GoBack_Click</vt:lpstr>
      <vt:lpstr>Evidence</vt:lpstr>
      <vt:lpstr>Clear_Click!BugCount</vt:lpstr>
      <vt:lpstr>Page_Load!BugCount</vt:lpstr>
      <vt:lpstr>Submit_Click!BugCount</vt:lpstr>
      <vt:lpstr>BugCount</vt:lpstr>
      <vt:lpstr>Clear_Click!BugSheetName</vt:lpstr>
      <vt:lpstr>Page_Load!BugSheetName</vt:lpstr>
      <vt:lpstr>Submit_Click!BugSheetName</vt:lpstr>
      <vt:lpstr>BugSheetName</vt:lpstr>
      <vt:lpstr>NewPCL</vt:lpstr>
      <vt:lpstr>NewPCL_Row</vt:lpstr>
      <vt:lpstr>Clear_Click!Print_Area</vt:lpstr>
      <vt:lpstr>Page_Load!Print_Area</vt:lpstr>
      <vt:lpstr>Submit_Click!Print_Area</vt:lpstr>
      <vt:lpstr>Summary!Print_Area</vt:lpstr>
      <vt:lpstr>Template!Print_Area</vt:lpstr>
      <vt:lpstr>Clear_Click!Print_Titles</vt:lpstr>
      <vt:lpstr>Page_Load!Print_Titles</vt:lpstr>
      <vt:lpstr>Submit_Click!Print_Titles</vt:lpstr>
      <vt:lpstr>Summary!Print_Titles</vt:lpstr>
      <vt:lpstr>Template!Print_Titles</vt:lpstr>
      <vt:lpstr>SummaryTB</vt:lpstr>
      <vt:lpstr>SummaryTotal</vt:lpstr>
      <vt:lpstr>SummaryTRNA</vt:lpstr>
      <vt:lpstr>SummaryTRNG</vt:lpstr>
      <vt:lpstr>SummaryTROK</vt:lpstr>
      <vt:lpstr>SummaryTRPT</vt:lpstr>
      <vt:lpstr>SummaryTTC</vt:lpstr>
      <vt:lpstr>SummaryTTD</vt:lpstr>
      <vt:lpstr>SummaryTTND</vt:lpstr>
      <vt:lpstr>Clear_Click!TestResult</vt:lpstr>
      <vt:lpstr>Page_Load!TestResult</vt:lpstr>
      <vt:lpstr>Submit_Click!TestResult</vt:lpstr>
      <vt:lpstr>TestResult</vt:lpstr>
    </vt:vector>
  </TitlesOfParts>
  <Company>（株）日立情報システムズ</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北垣　敏治</dc:creator>
  <cp:lastModifiedBy>Varad</cp:lastModifiedBy>
  <cp:lastPrinted>2010-03-26T11:46:07Z</cp:lastPrinted>
  <dcterms:created xsi:type="dcterms:W3CDTF">2005-06-14T08:18:38Z</dcterms:created>
  <dcterms:modified xsi:type="dcterms:W3CDTF">2019-08-27T08:33:07Z</dcterms:modified>
</cp:coreProperties>
</file>