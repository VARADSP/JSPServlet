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checkCompatibility="1"/>
  <bookViews>
    <workbookView xWindow="-180" yWindow="-195" windowWidth="12120" windowHeight="6330" tabRatio="511"/>
  </bookViews>
  <sheets>
    <sheet name="Summary" sheetId="32" r:id="rId1"/>
    <sheet name="Template" sheetId="21" state="hidden" r:id="rId2"/>
    <sheet name="Page_Load" sheetId="71" r:id="rId3"/>
    <sheet name="Submit_Click" sheetId="72" r:id="rId4"/>
    <sheet name="Clear_Click" sheetId="75" r:id="rId5"/>
    <sheet name="Evidence" sheetId="76" r:id="rId6"/>
  </sheets>
  <definedNames>
    <definedName name="_A02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Clear_Click!$H$47:$AF$47</definedName>
    <definedName name="BugCount" localSheetId="2">Page_Load!$H$57:$AF$57</definedName>
    <definedName name="BugCount" localSheetId="3">Submit_Click!$H$98:$AF$98</definedName>
    <definedName name="BugCount">Template!$H$29:$AF$29</definedName>
    <definedName name="BugSheetName" localSheetId="4">Clear_Click!$F$46</definedName>
    <definedName name="BugSheetName" localSheetId="2">Page_Load!$F$56</definedName>
    <definedName name="BugSheetName" localSheetId="3">Submit_Click!$F$97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Summary!$14:$14</definedName>
    <definedName name="_xlnm.Print_Area" localSheetId="4">Clear_Click!$A$1:$AF$48</definedName>
    <definedName name="_xlnm.Print_Area" localSheetId="2">Page_Load!$A$1:$AF$58</definedName>
    <definedName name="_xlnm.Print_Area" localSheetId="3">Submit_Click!$A$1:$AF$99</definedName>
    <definedName name="_xlnm.Print_Area" localSheetId="0">Summary!$A$5:$AM$34</definedName>
    <definedName name="_xlnm.Print_Area" localSheetId="1">Template!$A$1:$AF$30</definedName>
    <definedName name="_xlnm.Print_Titles" localSheetId="4">Clear_Click!$1:$3</definedName>
    <definedName name="_xlnm.Print_Titles" localSheetId="2">Page_Load!$1:$3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Summary!$AI$15</definedName>
    <definedName name="SummaryTotal">Summary!$B$15:$AL$16</definedName>
    <definedName name="SummaryTRNA">Summary!$X$15</definedName>
    <definedName name="SummaryTRNG">Summary!$R$15</definedName>
    <definedName name="SummaryTROK">Summary!$O$15</definedName>
    <definedName name="SummaryTRPT">Summary!$U$15</definedName>
    <definedName name="SummaryTTC">Summary!$K$15</definedName>
    <definedName name="SummaryTTD">Summary!$AA$15</definedName>
    <definedName name="SummaryTTND">Summary!$AE$15</definedName>
    <definedName name="TestResult" localSheetId="4">Clear_Click!$G$45</definedName>
    <definedName name="TestResult" localSheetId="2">Page_Load!$G$55</definedName>
    <definedName name="TestResult" localSheetId="3">Submit_Click!$G$96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47" i="75"/>
  <c r="AE47"/>
  <c r="AD47"/>
  <c r="AC47"/>
  <c r="AB47"/>
  <c r="AA47"/>
  <c r="Z47"/>
  <c r="Y47"/>
  <c r="X47"/>
  <c r="W47"/>
  <c r="V47"/>
  <c r="U47"/>
  <c r="T47"/>
  <c r="S47"/>
  <c r="O13" i="32"/>
  <c r="X13"/>
  <c r="AI13"/>
  <c r="R13"/>
  <c r="U13"/>
  <c r="AA13" l="1"/>
  <c r="AF3" i="75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K13" i="32"/>
  <c r="AI12"/>
  <c r="R12"/>
  <c r="O12"/>
  <c r="X12"/>
  <c r="U12"/>
  <c r="K12"/>
  <c r="AE13" l="1"/>
  <c r="AA12"/>
  <c r="AE12" s="1"/>
  <c r="AF98" i="72"/>
  <c r="AE98"/>
  <c r="AD98"/>
  <c r="AC98"/>
  <c r="AB98"/>
  <c r="AA98"/>
  <c r="Z98"/>
  <c r="Y98"/>
  <c r="X98"/>
  <c r="W98"/>
  <c r="V98"/>
  <c r="U98"/>
  <c r="T98"/>
  <c r="S98"/>
  <c r="X11" i="32"/>
  <c r="R11"/>
  <c r="AI11"/>
  <c r="U11"/>
  <c r="O11"/>
  <c r="AA11" l="1"/>
  <c r="H3" i="72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E3" s="1"/>
  <c r="AF3" s="1"/>
  <c r="H3" i="7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/>
  <c r="S57"/>
  <c r="T57"/>
  <c r="U57"/>
  <c r="V57"/>
  <c r="W57"/>
  <c r="X57"/>
  <c r="Y57"/>
  <c r="Z57"/>
  <c r="AA57"/>
  <c r="AB57"/>
  <c r="AC57"/>
  <c r="AD57"/>
  <c r="AE57"/>
  <c r="AF57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O10" i="32"/>
  <c r="AI10"/>
  <c r="K11"/>
  <c r="R10"/>
  <c r="U10"/>
  <c r="K10"/>
  <c r="X10"/>
  <c r="AE11" l="1"/>
  <c r="AA3"/>
  <c r="AE3" s="1"/>
  <c r="U15"/>
  <c r="X15"/>
  <c r="K15"/>
  <c r="AI15"/>
  <c r="AA10"/>
  <c r="AA15" s="1"/>
  <c r="O15"/>
  <c r="R15"/>
  <c r="R16" l="1"/>
  <c r="AA16"/>
  <c r="U16"/>
  <c r="O16"/>
  <c r="X16"/>
  <c r="AE10"/>
  <c r="AE15" s="1"/>
  <c r="AE16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<sst xmlns="http://schemas.openxmlformats.org/spreadsheetml/2006/main" count="981" uniqueCount="208">
  <si>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</si>
  <si>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</si>
  <si>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</si>
  <si>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</si>
  <si>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</si>
  <si>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</si>
  <si>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</si>
  <si>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</si>
  <si>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</si>
  <si>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</si>
  <si>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</si>
  <si>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</si>
  <si>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</si>
  <si>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</si>
  <si>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</si>
  <si>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</si>
  <si>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</si>
  <si>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</si>
  <si>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</si>
  <si>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</si>
  <si>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</si>
  <si>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</si>
  <si>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</si>
  <si>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</si>
  <si>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</si>
  <si>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</si>
  <si>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</si>
  <si>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</si>
  <si>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</si>
  <si>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</si>
  <si>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</si>
  <si>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</si>
  <si>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</si>
  <si>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</si>
  <si>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</si>
  <si>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</si>
  <si>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</si>
  <si>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</si>
  <si>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</si>
  <si>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</si>
  <si>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</si>
  <si>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</si>
  <si>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</si>
  <si>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</si>
  <si>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</si>
  <si>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</si>
  <si>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</si>
  <si>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</si>
  <si>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</si>
  <si>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Page_Load</t>
  </si>
  <si>
    <t>○</t>
  </si>
  <si>
    <t>Clickable</t>
  </si>
  <si>
    <t>N</t>
  </si>
  <si>
    <t>A</t>
  </si>
  <si>
    <t>Submit_Click</t>
  </si>
  <si>
    <t>Male</t>
  </si>
  <si>
    <t>Day</t>
  </si>
  <si>
    <t>Verification of path flow during program execution</t>
  </si>
  <si>
    <t xml:space="preserve"> </t>
  </si>
  <si>
    <t xml:space="preserve"> ○</t>
  </si>
  <si>
    <t>Project Code</t>
  </si>
  <si>
    <t>Creators Name</t>
  </si>
  <si>
    <t>Date</t>
  </si>
  <si>
    <t>Module Code</t>
  </si>
  <si>
    <t>Check Conditions / Verification Content</t>
  </si>
  <si>
    <t xml:space="preserve">Test Case Number </t>
  </si>
  <si>
    <t>Input 
Conditions</t>
  </si>
  <si>
    <t>Salutation</t>
  </si>
  <si>
    <t>Mr.</t>
  </si>
  <si>
    <t>First Name</t>
  </si>
  <si>
    <t>Blank</t>
  </si>
  <si>
    <t>Middle Name</t>
  </si>
  <si>
    <t>Last Name</t>
  </si>
  <si>
    <t>UserID</t>
  </si>
  <si>
    <t>Password</t>
  </si>
  <si>
    <t>Sex</t>
  </si>
  <si>
    <t>Female</t>
  </si>
  <si>
    <t>Mail ID</t>
  </si>
  <si>
    <t>Birthdate</t>
  </si>
  <si>
    <t>Month</t>
  </si>
  <si>
    <t>Address</t>
  </si>
  <si>
    <t>Areas of Interest</t>
  </si>
  <si>
    <t>Web Programming</t>
  </si>
  <si>
    <t>Database Programming</t>
  </si>
  <si>
    <t>Swing Programming</t>
  </si>
  <si>
    <t>Mobile Programming</t>
  </si>
  <si>
    <t>Other Interests</t>
  </si>
  <si>
    <t>Submit Button Click</t>
  </si>
  <si>
    <t>Exception</t>
  </si>
  <si>
    <t>Check Items</t>
  </si>
  <si>
    <t>Below error message is displayed</t>
  </si>
  <si>
    <t>Please Enter the Last Name</t>
  </si>
  <si>
    <t>Please Enter the UserId</t>
  </si>
  <si>
    <t>Please Enter the Password</t>
  </si>
  <si>
    <t>Please Select or enter Interest</t>
  </si>
  <si>
    <t>Inputted data will be display on console as follows</t>
  </si>
  <si>
    <t>Salutation : Null</t>
  </si>
  <si>
    <t>Salutation : Mr.</t>
  </si>
  <si>
    <t>Sex : Male</t>
  </si>
  <si>
    <t>Address : Null</t>
  </si>
  <si>
    <t>Test Status</t>
  </si>
  <si>
    <t>Condition Type</t>
  </si>
  <si>
    <t>Tested By</t>
  </si>
  <si>
    <t>Test Date</t>
  </si>
  <si>
    <t>Test Result</t>
  </si>
  <si>
    <t>Bug Details</t>
  </si>
  <si>
    <t>Bug ID</t>
  </si>
  <si>
    <t>Bug Count</t>
  </si>
  <si>
    <t>Clear_Click</t>
  </si>
  <si>
    <t>Clear Button Click</t>
  </si>
  <si>
    <t>UserId</t>
  </si>
  <si>
    <t>Email ID</t>
  </si>
  <si>
    <t>Birth Year</t>
  </si>
  <si>
    <t>Birth Month</t>
  </si>
  <si>
    <t>Birth Date</t>
  </si>
  <si>
    <t>Unchecked</t>
  </si>
  <si>
    <t>WDG</t>
  </si>
  <si>
    <t>Assignment1</t>
  </si>
  <si>
    <t>PersonalDetails</t>
  </si>
  <si>
    <t>Page</t>
    <phoneticPr fontId="4"/>
  </si>
  <si>
    <t>Page_load</t>
  </si>
  <si>
    <t>2</t>
  </si>
  <si>
    <t>Birth Date*</t>
  </si>
  <si>
    <t>UserDetails.jsp</t>
  </si>
  <si>
    <t>UserDetails..java</t>
  </si>
  <si>
    <t>UserDetails..jsp</t>
  </si>
  <si>
    <t>Checkable</t>
  </si>
  <si>
    <t>blank</t>
  </si>
  <si>
    <t>3</t>
  </si>
  <si>
    <t>Label</t>
  </si>
  <si>
    <t>Last Name*</t>
  </si>
  <si>
    <t>Page will be redirected to error page</t>
  </si>
  <si>
    <t xml:space="preserve">Year </t>
  </si>
  <si>
    <t>Please Select Your Gender : Male or Female</t>
  </si>
  <si>
    <t>Please Select Birth Year</t>
  </si>
  <si>
    <t>Please Select Birth Month</t>
  </si>
  <si>
    <t>Please Select Birth Day</t>
  </si>
  <si>
    <t>Please enter correct Email Id</t>
  </si>
  <si>
    <t>Home</t>
  </si>
  <si>
    <t>Page</t>
  </si>
  <si>
    <t>1</t>
  </si>
  <si>
    <t>User ID*</t>
  </si>
  <si>
    <t>Password*</t>
  </si>
  <si>
    <t>First Name*</t>
  </si>
  <si>
    <t>Sex*</t>
  </si>
  <si>
    <t>Year</t>
  </si>
  <si>
    <t>Areas of Interest*</t>
  </si>
  <si>
    <t>Header Text</t>
  </si>
  <si>
    <t>Page Title</t>
  </si>
  <si>
    <t>Operation Button</t>
  </si>
  <si>
    <t>Submit</t>
  </si>
  <si>
    <t>Clear</t>
  </si>
  <si>
    <t xml:space="preserve">Exception  </t>
  </si>
  <si>
    <t>Element</t>
  </si>
  <si>
    <t>Editable</t>
  </si>
  <si>
    <t>Selectable</t>
  </si>
  <si>
    <t>Visible</t>
  </si>
  <si>
    <t>True</t>
  </si>
  <si>
    <t>Personal Details</t>
  </si>
  <si>
    <t xml:space="preserve">interest :   web  swing  mobile  database  </t>
  </si>
  <si>
    <t>Refer Sheet 1</t>
  </si>
  <si>
    <t>Default</t>
  </si>
  <si>
    <t xml:space="preserve"> -</t>
  </si>
  <si>
    <t>Redirect Page to</t>
  </si>
  <si>
    <t xml:space="preserve"> Error page</t>
  </si>
  <si>
    <t xml:space="preserve">Successfully Registered page  </t>
  </si>
  <si>
    <t>Kailas Landge</t>
    <phoneticPr fontId="3"/>
  </si>
  <si>
    <t>Kailas Landge</t>
    <phoneticPr fontId="3"/>
  </si>
  <si>
    <t>Kailas</t>
    <phoneticPr fontId="3"/>
  </si>
  <si>
    <t>kdl</t>
    <phoneticPr fontId="3"/>
  </si>
  <si>
    <t>1234</t>
    <phoneticPr fontId="3"/>
  </si>
  <si>
    <t>klandge82@gmail.com</t>
    <phoneticPr fontId="3"/>
  </si>
  <si>
    <t xml:space="preserve">  " "  </t>
    <phoneticPr fontId="3"/>
  </si>
  <si>
    <t>D</t>
    <phoneticPr fontId="3"/>
  </si>
  <si>
    <t>Landge</t>
    <phoneticPr fontId="3"/>
  </si>
  <si>
    <t>kailas@usindiacom</t>
    <phoneticPr fontId="3"/>
  </si>
  <si>
    <t>Aurangabad</t>
    <phoneticPr fontId="3"/>
  </si>
  <si>
    <t>Hadoop</t>
    <phoneticPr fontId="3"/>
  </si>
  <si>
    <t>Exception Occurred</t>
    <phoneticPr fontId="3"/>
  </si>
  <si>
    <t>Please Enter the First Name</t>
    <phoneticPr fontId="3"/>
  </si>
  <si>
    <t>FirstName : Kailas</t>
    <phoneticPr fontId="3"/>
  </si>
  <si>
    <t>Middlename : D</t>
    <phoneticPr fontId="3"/>
  </si>
  <si>
    <t>Middlename : Null</t>
    <phoneticPr fontId="3"/>
  </si>
  <si>
    <t>LastName : Landge</t>
    <phoneticPr fontId="3"/>
  </si>
  <si>
    <t>Email_ID : Null</t>
    <phoneticPr fontId="3"/>
  </si>
  <si>
    <t>Email_ID : klandge82@gmail..com</t>
    <phoneticPr fontId="3"/>
  </si>
  <si>
    <t>Birth Date : 1996/2/10</t>
    <phoneticPr fontId="3"/>
  </si>
  <si>
    <t>Address :Auranagabd</t>
    <phoneticPr fontId="3"/>
  </si>
  <si>
    <t xml:space="preserve">Interest : web </t>
    <phoneticPr fontId="3"/>
  </si>
  <si>
    <t>kailas</t>
    <phoneticPr fontId="3"/>
  </si>
  <si>
    <t>Password  must contain atleast 6 or more character</t>
    <phoneticPr fontId="3"/>
  </si>
  <si>
    <t>UserID must contain atleast 4 or more character</t>
    <phoneticPr fontId="3"/>
  </si>
  <si>
    <t>kdl1234</t>
    <phoneticPr fontId="3"/>
  </si>
  <si>
    <t>kailas@123</t>
    <phoneticPr fontId="3"/>
  </si>
  <si>
    <t>UseID : kdl1234</t>
    <phoneticPr fontId="3"/>
  </si>
  <si>
    <t>Password : kailas@123</t>
    <phoneticPr fontId="3"/>
  </si>
  <si>
    <t>kailas</t>
    <phoneticPr fontId="3"/>
  </si>
  <si>
    <t>OK</t>
  </si>
  <si>
    <t>Skillup_JSP</t>
    <phoneticPr fontId="3"/>
  </si>
  <si>
    <t>Skillup_JSP</t>
    <phoneticPr fontId="3"/>
  </si>
  <si>
    <t>[JVS : Skillup_JSP ]</t>
    <phoneticPr fontId="3"/>
  </si>
  <si>
    <t xml:space="preserve">Other Interest : </t>
    <phoneticPr fontId="3"/>
  </si>
  <si>
    <t xml:space="preserve">Page Load </t>
    <phoneticPr fontId="3"/>
  </si>
  <si>
    <t>Screen shoot 1:</t>
    <phoneticPr fontId="3"/>
  </si>
  <si>
    <t>Screen shoot 2:</t>
    <phoneticPr fontId="3"/>
  </si>
  <si>
    <t xml:space="preserve">Error Message </t>
    <phoneticPr fontId="3"/>
  </si>
  <si>
    <t>Screen shoot 3:</t>
    <phoneticPr fontId="3"/>
  </si>
  <si>
    <t>Successfully display data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</si>
</sst>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b/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272">
    <xf numFmtId="0" fontId="0" fillId="0" borderId="0" xfId="0"/>
    <xf numFmtId="49" fontId="9" fillId="0" borderId="0" xfId="6" applyNumberFormat="1" applyFont="1" applyFill="1">
      <alignment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176" fontId="12" fillId="0" borderId="1" xfId="2" applyNumberFormat="1" applyFont="1" applyFill="1" applyBorder="1" applyAlignment="1">
      <alignment horizontal="center" vertical="center"/>
    </xf>
    <xf numFmtId="176" fontId="12" fillId="0" borderId="1" xfId="2" applyNumberFormat="1" applyFont="1" applyFill="1" applyBorder="1" applyAlignment="1">
      <alignment horizontal="left" vertical="center"/>
    </xf>
    <xf numFmtId="176" fontId="12" fillId="0" borderId="2" xfId="2" applyNumberFormat="1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49" fontId="9" fillId="0" borderId="0" xfId="6" applyNumberFormat="1" applyFont="1" applyFill="1" applyBorder="1">
      <alignment vertical="center"/>
    </xf>
    <xf numFmtId="49" fontId="9" fillId="0" borderId="3" xfId="6" applyNumberFormat="1" applyFont="1" applyFill="1" applyBorder="1" applyAlignment="1"/>
    <xf numFmtId="176" fontId="9" fillId="0" borderId="4" xfId="6" applyNumberFormat="1" applyFont="1" applyFill="1" applyBorder="1" applyAlignment="1">
      <alignment horizontal="center" vertical="center"/>
    </xf>
    <xf numFmtId="176" fontId="9" fillId="0" borderId="5" xfId="6" applyNumberFormat="1" applyFont="1" applyFill="1" applyBorder="1" applyAlignment="1">
      <alignment horizontal="center" vertical="center"/>
    </xf>
    <xf numFmtId="176" fontId="9" fillId="0" borderId="6" xfId="6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top" wrapText="1"/>
    </xf>
    <xf numFmtId="49" fontId="9" fillId="0" borderId="8" xfId="0" applyNumberFormat="1" applyFont="1" applyFill="1" applyBorder="1" applyAlignment="1">
      <alignment horizontal="center" vertical="top" wrapText="1"/>
    </xf>
    <xf numFmtId="49" fontId="9" fillId="0" borderId="9" xfId="0" applyNumberFormat="1" applyFont="1" applyFill="1" applyBorder="1" applyAlignment="1">
      <alignment horizontal="center" vertical="top" wrapText="1"/>
    </xf>
    <xf numFmtId="49" fontId="9" fillId="0" borderId="0" xfId="6" applyNumberFormat="1" applyFont="1" applyFill="1" applyAlignment="1">
      <alignment vertical="center" wrapText="1"/>
    </xf>
    <xf numFmtId="49" fontId="9" fillId="0" borderId="10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2" xfId="0" applyNumberFormat="1" applyFont="1" applyFill="1" applyBorder="1" applyAlignment="1">
      <alignment horizontal="center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10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center" wrapText="1"/>
    </xf>
    <xf numFmtId="49" fontId="9" fillId="0" borderId="12" xfId="0" applyNumberFormat="1" applyFont="1" applyFill="1" applyBorder="1" applyAlignment="1">
      <alignment horizontal="center" vertical="center" wrapText="1"/>
    </xf>
    <xf numFmtId="49" fontId="9" fillId="0" borderId="7" xfId="0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/>
    </xf>
    <xf numFmtId="49" fontId="9" fillId="0" borderId="9" xfId="0" applyNumberFormat="1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4" xfId="0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center" wrapText="1"/>
    </xf>
    <xf numFmtId="49" fontId="9" fillId="0" borderId="16" xfId="0" applyNumberFormat="1" applyFont="1" applyFill="1" applyBorder="1" applyAlignment="1">
      <alignment horizontal="center" vertical="center" wrapText="1"/>
    </xf>
    <xf numFmtId="49" fontId="9" fillId="0" borderId="17" xfId="0" applyNumberFormat="1" applyFont="1" applyFill="1" applyBorder="1" applyAlignment="1">
      <alignment horizontal="center" vertical="center" wrapText="1"/>
    </xf>
    <xf numFmtId="49" fontId="9" fillId="0" borderId="18" xfId="0" applyNumberFormat="1" applyFont="1" applyFill="1" applyBorder="1" applyAlignment="1">
      <alignment horizontal="center" vertical="center" wrapText="1"/>
    </xf>
    <xf numFmtId="49" fontId="9" fillId="0" borderId="19" xfId="0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horizontal="center" vertical="center" wrapText="1"/>
    </xf>
    <xf numFmtId="49" fontId="9" fillId="0" borderId="7" xfId="6" applyNumberFormat="1" applyFont="1" applyFill="1" applyBorder="1" applyAlignment="1">
      <alignment horizontal="center" vertical="center" wrapText="1"/>
    </xf>
    <xf numFmtId="49" fontId="9" fillId="0" borderId="8" xfId="6" applyNumberFormat="1" applyFont="1" applyFill="1" applyBorder="1" applyAlignment="1">
      <alignment horizontal="center" vertical="center" wrapText="1"/>
    </xf>
    <xf numFmtId="49" fontId="9" fillId="0" borderId="9" xfId="6" applyNumberFormat="1" applyFont="1" applyFill="1" applyBorder="1" applyAlignment="1">
      <alignment horizontal="center" vertical="center" wrapText="1"/>
    </xf>
    <xf numFmtId="49" fontId="9" fillId="0" borderId="21" xfId="6" applyNumberFormat="1" applyFont="1" applyFill="1" applyBorder="1" applyAlignment="1">
      <alignment horizontal="center" vertical="center" wrapText="1"/>
    </xf>
    <xf numFmtId="49" fontId="9" fillId="0" borderId="10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2" xfId="6" applyNumberFormat="1" applyFont="1" applyFill="1" applyBorder="1" applyAlignment="1">
      <alignment horizontal="center" vertical="center" wrapText="1"/>
    </xf>
    <xf numFmtId="177" fontId="9" fillId="0" borderId="10" xfId="6" applyNumberFormat="1" applyFont="1" applyFill="1" applyBorder="1" applyAlignment="1">
      <alignment horizontal="center" vertical="center" wrapText="1"/>
    </xf>
    <xf numFmtId="177" fontId="9" fillId="0" borderId="11" xfId="6" applyNumberFormat="1" applyFont="1" applyFill="1" applyBorder="1" applyAlignment="1">
      <alignment horizontal="center" vertical="center" wrapText="1"/>
    </xf>
    <xf numFmtId="177" fontId="9" fillId="0" borderId="12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Alignment="1">
      <alignment horizontal="center" vertical="center" wrapText="1"/>
    </xf>
    <xf numFmtId="49" fontId="9" fillId="0" borderId="23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vertical="center" wrapText="1"/>
    </xf>
    <xf numFmtId="49" fontId="9" fillId="0" borderId="0" xfId="6" applyNumberFormat="1" applyFont="1" applyFill="1" applyBorder="1" applyAlignment="1">
      <alignment horizontal="center" vertical="center"/>
    </xf>
    <xf numFmtId="176" fontId="12" fillId="0" borderId="2" xfId="2" applyNumberFormat="1" applyFont="1" applyFill="1" applyBorder="1" applyAlignment="1">
      <alignment horizontal="left" vertical="center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6" xfId="6" applyNumberFormat="1" applyFont="1" applyFill="1" applyBorder="1" applyAlignment="1">
      <alignment horizontal="center" vertical="center" wrapText="1"/>
    </xf>
    <xf numFmtId="0" fontId="9" fillId="0" borderId="18" xfId="6" applyNumberFormat="1" applyFont="1" applyFill="1" applyBorder="1" applyAlignment="1">
      <alignment horizontal="center" vertical="center" wrapText="1"/>
    </xf>
    <xf numFmtId="0" fontId="9" fillId="0" borderId="19" xfId="6" applyNumberFormat="1" applyFont="1" applyFill="1" applyBorder="1" applyAlignment="1">
      <alignment horizontal="center" vertical="center" wrapText="1"/>
    </xf>
    <xf numFmtId="176" fontId="10" fillId="0" borderId="0" xfId="2" applyNumberFormat="1" applyFont="1" applyFill="1" applyBorder="1" applyAlignment="1">
      <alignment horizontal="center" vertical="center"/>
    </xf>
    <xf numFmtId="176" fontId="10" fillId="0" borderId="0" xfId="2" applyNumberFormat="1" applyFont="1" applyFill="1" applyBorder="1" applyAlignment="1">
      <alignment horizontal="left" vertical="center"/>
    </xf>
    <xf numFmtId="0" fontId="10" fillId="0" borderId="0" xfId="2" applyFont="1" applyFill="1" applyAlignment="1">
      <alignment horizontal="center" vertical="center"/>
    </xf>
    <xf numFmtId="49" fontId="9" fillId="0" borderId="14" xfId="6" applyNumberFormat="1" applyFont="1" applyFill="1" applyBorder="1" applyAlignment="1">
      <alignment horizontal="center" vertical="center" wrapText="1"/>
    </xf>
    <xf numFmtId="0" fontId="9" fillId="0" borderId="17" xfId="6" applyNumberFormat="1" applyFont="1" applyFill="1" applyBorder="1" applyAlignment="1">
      <alignment horizontal="center" vertical="center" wrapText="1"/>
    </xf>
    <xf numFmtId="49" fontId="13" fillId="0" borderId="11" xfId="0" applyNumberFormat="1" applyFont="1" applyFill="1" applyBorder="1" applyAlignment="1">
      <alignment horizontal="center" vertical="center" wrapText="1"/>
    </xf>
    <xf numFmtId="49" fontId="9" fillId="2" borderId="7" xfId="6" applyNumberFormat="1" applyFont="1" applyFill="1" applyBorder="1" applyAlignment="1">
      <alignment vertical="center"/>
    </xf>
    <xf numFmtId="49" fontId="9" fillId="2" borderId="17" xfId="6" applyNumberFormat="1" applyFont="1" applyFill="1" applyBorder="1" applyAlignment="1">
      <alignment vertical="center"/>
    </xf>
    <xf numFmtId="49" fontId="14" fillId="0" borderId="24" xfId="6" applyNumberFormat="1" applyFont="1" applyFill="1" applyBorder="1" applyAlignment="1">
      <alignment horizontal="right" vertical="top" wrapText="1"/>
    </xf>
    <xf numFmtId="49" fontId="19" fillId="0" borderId="4" xfId="6" applyNumberFormat="1" applyFont="1" applyFill="1" applyBorder="1" applyAlignment="1"/>
    <xf numFmtId="49" fontId="13" fillId="0" borderId="8" xfId="0" applyNumberFormat="1" applyFont="1" applyFill="1" applyBorder="1" applyAlignment="1">
      <alignment horizontal="center" vertical="center" wrapText="1"/>
    </xf>
    <xf numFmtId="49" fontId="13" fillId="0" borderId="15" xfId="0" applyNumberFormat="1" applyFont="1" applyFill="1" applyBorder="1" applyAlignment="1">
      <alignment horizontal="center" vertical="center" wrapText="1"/>
    </xf>
    <xf numFmtId="49" fontId="13" fillId="0" borderId="11" xfId="6" applyNumberFormat="1" applyFont="1" applyFill="1" applyBorder="1" applyAlignment="1">
      <alignment horizontal="center" vertical="center" wrapText="1"/>
    </xf>
    <xf numFmtId="49" fontId="13" fillId="0" borderId="18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38" xfId="5" applyNumberFormat="1" applyFont="1" applyFill="1" applyBorder="1" applyAlignment="1">
      <alignment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48" xfId="0" applyNumberFormat="1" applyFont="1" applyFill="1" applyBorder="1" applyAlignment="1">
      <alignment horizontal="center" vertical="center" wrapText="1"/>
    </xf>
    <xf numFmtId="49" fontId="9" fillId="0" borderId="47" xfId="0" applyNumberFormat="1" applyFont="1" applyFill="1" applyBorder="1" applyAlignment="1">
      <alignment horizontal="center" vertical="center" wrapText="1"/>
    </xf>
    <xf numFmtId="49" fontId="9" fillId="0" borderId="49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1" xfId="5" applyNumberFormat="1" applyFont="1" applyFill="1" applyBorder="1" applyAlignment="1">
      <alignment wrapText="1"/>
    </xf>
    <xf numFmtId="49" fontId="9" fillId="0" borderId="42" xfId="7" applyNumberFormat="1" applyFont="1" applyFill="1" applyBorder="1" applyAlignment="1">
      <alignment horizontal="center" vertical="center" wrapText="1"/>
    </xf>
    <xf numFmtId="49" fontId="9" fillId="0" borderId="14" xfId="7" applyNumberFormat="1" applyFont="1" applyFill="1" applyBorder="1" applyAlignment="1">
      <alignment horizontal="center" vertical="center" wrapText="1"/>
    </xf>
    <xf numFmtId="49" fontId="9" fillId="0" borderId="43" xfId="7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top" wrapText="1"/>
    </xf>
    <xf numFmtId="49" fontId="9" fillId="0" borderId="22" xfId="0" applyNumberFormat="1" applyFont="1" applyFill="1" applyBorder="1" applyAlignment="1">
      <alignment horizontal="center" vertical="top" wrapText="1"/>
    </xf>
    <xf numFmtId="49" fontId="9" fillId="0" borderId="14" xfId="0" applyNumberFormat="1" applyFont="1" applyFill="1" applyBorder="1" applyAlignment="1">
      <alignment horizontal="center" vertical="top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29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0" fontId="21" fillId="0" borderId="0" xfId="0" applyFont="1"/>
    <xf numFmtId="176" fontId="10" fillId="5" borderId="22" xfId="2" applyNumberFormat="1" applyFont="1" applyFill="1" applyBorder="1" applyAlignment="1">
      <alignment horizontal="center" vertical="center"/>
    </xf>
    <xf numFmtId="176" fontId="10" fillId="5" borderId="1" xfId="2" applyNumberFormat="1" applyFont="1" applyFill="1" applyBorder="1" applyAlignment="1">
      <alignment horizontal="center" vertical="center"/>
    </xf>
    <xf numFmtId="176" fontId="10" fillId="5" borderId="25" xfId="2" applyNumberFormat="1" applyFont="1" applyFill="1" applyBorder="1" applyAlignment="1">
      <alignment horizontal="center" vertical="center"/>
    </xf>
    <xf numFmtId="176" fontId="10" fillId="2" borderId="22" xfId="2" applyNumberFormat="1" applyFont="1" applyFill="1" applyBorder="1" applyAlignment="1">
      <alignment horizontal="center" vertical="center"/>
    </xf>
    <xf numFmtId="176" fontId="10" fillId="2" borderId="1" xfId="2" applyNumberFormat="1" applyFont="1" applyFill="1" applyBorder="1" applyAlignment="1">
      <alignment horizontal="center" vertical="center"/>
    </xf>
    <xf numFmtId="176" fontId="10" fillId="2" borderId="25" xfId="2" applyNumberFormat="1" applyFont="1" applyFill="1" applyBorder="1" applyAlignment="1">
      <alignment horizontal="center" vertical="center"/>
    </xf>
    <xf numFmtId="176" fontId="10" fillId="0" borderId="22" xfId="2" applyNumberFormat="1" applyFont="1" applyBorder="1" applyAlignment="1">
      <alignment horizontal="center" vertical="center"/>
    </xf>
    <xf numFmtId="176" fontId="10" fillId="0" borderId="25" xfId="2" applyNumberFormat="1" applyFont="1" applyBorder="1" applyAlignment="1">
      <alignment horizontal="center" vertical="center"/>
    </xf>
    <xf numFmtId="176" fontId="10" fillId="0" borderId="22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 applyProtection="1">
      <alignment vertical="center" wrapText="1"/>
      <protection locked="0"/>
    </xf>
    <xf numFmtId="176" fontId="10" fillId="0" borderId="25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>
      <alignment horizontal="center" vertical="center"/>
    </xf>
    <xf numFmtId="176" fontId="10" fillId="4" borderId="22" xfId="2" applyNumberFormat="1" applyFont="1" applyFill="1" applyBorder="1" applyAlignment="1">
      <alignment horizontal="center" vertical="center"/>
    </xf>
    <xf numFmtId="176" fontId="10" fillId="4" borderId="1" xfId="2" applyNumberFormat="1" applyFont="1" applyFill="1" applyBorder="1" applyAlignment="1">
      <alignment horizontal="center" vertical="center"/>
    </xf>
    <xf numFmtId="176" fontId="10" fillId="4" borderId="25" xfId="2" applyNumberFormat="1" applyFont="1" applyFill="1" applyBorder="1" applyAlignment="1">
      <alignment horizontal="center" vertical="center"/>
    </xf>
    <xf numFmtId="176" fontId="10" fillId="4" borderId="27" xfId="2" applyNumberFormat="1" applyFont="1" applyFill="1" applyBorder="1" applyAlignment="1">
      <alignment horizontal="center" vertical="center"/>
    </xf>
    <xf numFmtId="176" fontId="10" fillId="4" borderId="2" xfId="2" applyNumberFormat="1" applyFont="1" applyFill="1" applyBorder="1" applyAlignment="1">
      <alignment horizontal="center" vertical="center"/>
    </xf>
    <xf numFmtId="176" fontId="10" fillId="4" borderId="28" xfId="2" applyNumberFormat="1" applyFont="1" applyFill="1" applyBorder="1" applyAlignment="1">
      <alignment horizontal="center" vertical="center"/>
    </xf>
    <xf numFmtId="176" fontId="10" fillId="4" borderId="21" xfId="2" applyNumberFormat="1" applyFont="1" applyFill="1" applyBorder="1" applyAlignment="1">
      <alignment horizontal="center" vertical="center"/>
    </xf>
    <xf numFmtId="176" fontId="10" fillId="4" borderId="29" xfId="2" applyNumberFormat="1" applyFont="1" applyFill="1" applyBorder="1" applyAlignment="1">
      <alignment horizontal="center" vertical="center"/>
    </xf>
    <xf numFmtId="176" fontId="10" fillId="4" borderId="30" xfId="2" applyNumberFormat="1" applyFont="1" applyFill="1" applyBorder="1" applyAlignment="1">
      <alignment horizontal="center" vertical="center"/>
    </xf>
    <xf numFmtId="9" fontId="10" fillId="4" borderId="22" xfId="3" applyNumberFormat="1" applyFont="1" applyFill="1" applyBorder="1" applyAlignment="1">
      <alignment horizontal="center" vertical="center"/>
    </xf>
    <xf numFmtId="9" fontId="10" fillId="4" borderId="1" xfId="3" applyNumberFormat="1" applyFont="1" applyFill="1" applyBorder="1" applyAlignment="1">
      <alignment horizontal="center" vertical="center"/>
    </xf>
    <xf numFmtId="9" fontId="10" fillId="4" borderId="25" xfId="3" applyNumberFormat="1" applyFont="1" applyFill="1" applyBorder="1" applyAlignment="1">
      <alignment horizontal="center" vertical="center"/>
    </xf>
    <xf numFmtId="0" fontId="10" fillId="4" borderId="22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/>
    </xf>
    <xf numFmtId="0" fontId="10" fillId="7" borderId="30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10" fillId="7" borderId="27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7" borderId="22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0" fillId="7" borderId="22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5" xfId="0" applyFont="1" applyFill="1" applyBorder="1" applyAlignment="1">
      <alignment horizontal="center" vertical="center"/>
    </xf>
    <xf numFmtId="0" fontId="20" fillId="3" borderId="0" xfId="2" applyFont="1" applyFill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49" fontId="9" fillId="0" borderId="27" xfId="5" applyNumberFormat="1" applyFont="1" applyFill="1" applyBorder="1" applyAlignment="1">
      <alignment horizontal="left" wrapText="1"/>
    </xf>
    <xf numFmtId="49" fontId="9" fillId="0" borderId="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1" xfId="5" applyNumberFormat="1" applyFont="1" applyFill="1" applyBorder="1" applyAlignment="1">
      <alignment horizontal="left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15" fillId="0" borderId="33" xfId="6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vertical="center" wrapText="1"/>
    </xf>
    <xf numFmtId="49" fontId="9" fillId="0" borderId="34" xfId="6" applyNumberFormat="1" applyFont="1" applyFill="1" applyBorder="1" applyAlignment="1">
      <alignment vertical="center" wrapText="1"/>
    </xf>
    <xf numFmtId="49" fontId="9" fillId="0" borderId="35" xfId="6" applyNumberFormat="1" applyFont="1" applyFill="1" applyBorder="1" applyAlignment="1">
      <alignment vertical="center" wrapText="1"/>
    </xf>
    <xf numFmtId="49" fontId="9" fillId="0" borderId="22" xfId="6" applyNumberFormat="1" applyFont="1" applyFill="1" applyBorder="1" applyAlignment="1">
      <alignment vertical="center" wrapText="1"/>
    </xf>
    <xf numFmtId="49" fontId="9" fillId="0" borderId="1" xfId="6" applyNumberFormat="1" applyFont="1" applyFill="1" applyBorder="1" applyAlignment="1">
      <alignment vertical="center" wrapText="1"/>
    </xf>
    <xf numFmtId="49" fontId="9" fillId="0" borderId="25" xfId="6" applyNumberFormat="1" applyFont="1" applyFill="1" applyBorder="1" applyAlignment="1">
      <alignment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7" fillId="0" borderId="33" xfId="6" applyNumberFormat="1" applyFont="1" applyFill="1" applyBorder="1" applyAlignment="1">
      <alignment horizontal="center" vertical="center" wrapText="1"/>
    </xf>
    <xf numFmtId="49" fontId="17" fillId="0" borderId="36" xfId="6" applyNumberFormat="1" applyFont="1" applyFill="1" applyBorder="1" applyAlignment="1">
      <alignment horizontal="center" vertical="center" wrapText="1"/>
    </xf>
    <xf numFmtId="49" fontId="9" fillId="0" borderId="37" xfId="0" applyNumberFormat="1" applyFont="1" applyFill="1" applyBorder="1" applyAlignment="1">
      <alignment horizontal="left" vertical="top" wrapText="1"/>
    </xf>
    <xf numFmtId="49" fontId="9" fillId="0" borderId="23" xfId="0" applyNumberFormat="1" applyFont="1" applyFill="1" applyBorder="1" applyAlignment="1">
      <alignment horizontal="left" vertical="top" wrapText="1"/>
    </xf>
    <xf numFmtId="49" fontId="9" fillId="0" borderId="31" xfId="6" applyNumberFormat="1" applyFont="1" applyFill="1" applyBorder="1" applyAlignment="1">
      <alignment horizontal="center" vertical="center" wrapText="1"/>
    </xf>
    <xf numFmtId="49" fontId="16" fillId="0" borderId="32" xfId="6" applyNumberFormat="1" applyFont="1" applyFill="1" applyBorder="1" applyAlignment="1">
      <alignment horizontal="center" vertical="center" wrapText="1"/>
    </xf>
    <xf numFmtId="49" fontId="16" fillId="0" borderId="33" xfId="6" applyNumberFormat="1" applyFont="1" applyFill="1" applyBorder="1" applyAlignment="1">
      <alignment horizontal="center" vertical="center" wrapText="1"/>
    </xf>
    <xf numFmtId="49" fontId="9" fillId="0" borderId="22" xfId="0" applyNumberFormat="1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49" fontId="4" fillId="0" borderId="27" xfId="0" applyNumberFormat="1" applyFont="1" applyFill="1" applyBorder="1" applyAlignment="1">
      <alignment horizontal="left" vertical="top" wrapText="1"/>
    </xf>
    <xf numFmtId="49" fontId="9" fillId="0" borderId="1" xfId="0" applyNumberFormat="1" applyFont="1" applyFill="1" applyBorder="1" applyAlignment="1">
      <alignment horizontal="left" vertical="top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9" fillId="0" borderId="20" xfId="6" applyNumberFormat="1" applyFont="1" applyFill="1" applyBorder="1" applyAlignment="1">
      <alignment horizontal="center" vertical="center"/>
    </xf>
    <xf numFmtId="49" fontId="9" fillId="0" borderId="34" xfId="6" applyNumberFormat="1" applyFont="1" applyFill="1" applyBorder="1" applyAlignment="1">
      <alignment horizontal="center" vertical="center"/>
    </xf>
    <xf numFmtId="49" fontId="9" fillId="0" borderId="35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/>
    </xf>
    <xf numFmtId="49" fontId="9" fillId="0" borderId="39" xfId="6" applyNumberFormat="1" applyFont="1" applyFill="1" applyBorder="1" applyAlignment="1">
      <alignment horizontal="center" vertical="center"/>
    </xf>
    <xf numFmtId="49" fontId="9" fillId="0" borderId="40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 wrapText="1"/>
    </xf>
    <xf numFmtId="49" fontId="9" fillId="0" borderId="39" xfId="6" applyNumberFormat="1" applyFont="1" applyFill="1" applyBorder="1" applyAlignment="1">
      <alignment horizontal="center" vertical="center" wrapText="1"/>
    </xf>
    <xf numFmtId="49" fontId="9" fillId="0" borderId="40" xfId="6" applyNumberFormat="1" applyFont="1" applyFill="1" applyBorder="1" applyAlignment="1">
      <alignment horizontal="center" vertical="center" wrapText="1"/>
    </xf>
    <xf numFmtId="49" fontId="9" fillId="2" borderId="20" xfId="6" applyNumberFormat="1" applyFont="1" applyFill="1" applyBorder="1" applyAlignment="1">
      <alignment horizontal="center" vertical="center"/>
    </xf>
    <xf numFmtId="49" fontId="9" fillId="2" borderId="34" xfId="6" applyNumberFormat="1" applyFont="1" applyFill="1" applyBorder="1" applyAlignment="1">
      <alignment horizontal="center" vertical="center"/>
    </xf>
    <xf numFmtId="49" fontId="9" fillId="2" borderId="35" xfId="6" applyNumberFormat="1" applyFont="1" applyFill="1" applyBorder="1" applyAlignment="1">
      <alignment horizontal="center" vertical="center"/>
    </xf>
    <xf numFmtId="49" fontId="9" fillId="2" borderId="8" xfId="6" applyNumberFormat="1" applyFont="1" applyFill="1" applyBorder="1" applyAlignment="1">
      <alignment horizontal="center" vertical="center"/>
    </xf>
    <xf numFmtId="177" fontId="9" fillId="0" borderId="8" xfId="6" applyNumberFormat="1" applyFont="1" applyFill="1" applyBorder="1" applyAlignment="1">
      <alignment horizontal="center" vertical="center"/>
    </xf>
    <xf numFmtId="177" fontId="9" fillId="0" borderId="9" xfId="6" applyNumberFormat="1" applyFont="1" applyFill="1" applyBorder="1" applyAlignment="1">
      <alignment horizontal="center" vertical="center"/>
    </xf>
    <xf numFmtId="49" fontId="9" fillId="2" borderId="38" xfId="6" applyNumberFormat="1" applyFont="1" applyFill="1" applyBorder="1" applyAlignment="1">
      <alignment horizontal="center" vertical="center"/>
    </xf>
    <xf numFmtId="49" fontId="9" fillId="2" borderId="39" xfId="6" applyNumberFormat="1" applyFont="1" applyFill="1" applyBorder="1" applyAlignment="1">
      <alignment horizontal="center" vertical="center"/>
    </xf>
    <xf numFmtId="49" fontId="9" fillId="0" borderId="41" xfId="6" applyNumberFormat="1" applyFont="1" applyFill="1" applyBorder="1" applyAlignment="1">
      <alignment horizontal="center" vertical="center"/>
    </xf>
    <xf numFmtId="49" fontId="18" fillId="0" borderId="42" xfId="6" applyNumberFormat="1" applyFont="1" applyFill="1" applyBorder="1" applyAlignment="1">
      <alignment horizontal="center" vertical="center" wrapText="1"/>
    </xf>
    <xf numFmtId="49" fontId="18" fillId="0" borderId="43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0" fontId="9" fillId="0" borderId="22" xfId="6" applyNumberFormat="1" applyFont="1" applyFill="1" applyBorder="1" applyAlignment="1">
      <alignment horizontal="right" vertical="center" wrapText="1"/>
    </xf>
    <xf numFmtId="0" fontId="9" fillId="0" borderId="44" xfId="6" applyNumberFormat="1" applyFont="1" applyFill="1" applyBorder="1" applyAlignment="1">
      <alignment horizontal="right" vertical="center" wrapText="1"/>
    </xf>
    <xf numFmtId="49" fontId="9" fillId="0" borderId="4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left" vertical="top" wrapText="1"/>
    </xf>
    <xf numFmtId="49" fontId="9" fillId="0" borderId="12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5" xfId="0" applyNumberFormat="1" applyFont="1" applyFill="1" applyBorder="1" applyAlignment="1">
      <alignment horizontal="left" vertical="top" wrapText="1"/>
    </xf>
    <xf numFmtId="49" fontId="9" fillId="0" borderId="29" xfId="6" applyNumberFormat="1" applyFont="1" applyFill="1" applyBorder="1" applyAlignment="1">
      <alignment vertical="center" wrapText="1"/>
    </xf>
    <xf numFmtId="49" fontId="9" fillId="0" borderId="30" xfId="6" applyNumberFormat="1" applyFont="1" applyFill="1" applyBorder="1" applyAlignment="1">
      <alignment vertical="center" wrapText="1"/>
    </xf>
    <xf numFmtId="49" fontId="9" fillId="0" borderId="44" xfId="5" applyNumberFormat="1" applyFont="1" applyFill="1" applyBorder="1" applyAlignment="1">
      <alignment horizontal="left" wrapText="1"/>
    </xf>
    <xf numFmtId="49" fontId="9" fillId="0" borderId="15" xfId="5" applyNumberFormat="1" applyFont="1" applyFill="1" applyBorder="1" applyAlignment="1">
      <alignment horizontal="center" wrapText="1"/>
    </xf>
    <xf numFmtId="49" fontId="9" fillId="0" borderId="47" xfId="5" applyNumberFormat="1" applyFont="1" applyFill="1" applyBorder="1" applyAlignment="1">
      <alignment horizontal="center" wrapText="1"/>
    </xf>
    <xf numFmtId="49" fontId="9" fillId="0" borderId="45" xfId="0" applyNumberFormat="1" applyFont="1" applyFill="1" applyBorder="1" applyAlignment="1">
      <alignment horizontal="left" vertical="top" wrapText="1"/>
    </xf>
    <xf numFmtId="0" fontId="10" fillId="0" borderId="44" xfId="0" applyFont="1" applyBorder="1" applyAlignment="1">
      <alignment horizontal="left" vertical="top" wrapText="1"/>
    </xf>
    <xf numFmtId="49" fontId="9" fillId="0" borderId="44" xfId="0" applyNumberFormat="1" applyFont="1" applyFill="1" applyBorder="1" applyAlignment="1">
      <alignment horizontal="left" vertical="top" wrapText="1"/>
    </xf>
    <xf numFmtId="49" fontId="9" fillId="0" borderId="15" xfId="5" applyNumberFormat="1" applyFont="1" applyFill="1" applyBorder="1" applyAlignment="1">
      <alignment horizontal="left" wrapText="1"/>
    </xf>
    <xf numFmtId="49" fontId="9" fillId="0" borderId="31" xfId="5" applyNumberFormat="1" applyFont="1" applyFill="1" applyBorder="1" applyAlignment="1">
      <alignment horizontal="left" wrapText="1"/>
    </xf>
    <xf numFmtId="49" fontId="9" fillId="0" borderId="47" xfId="5" applyNumberFormat="1" applyFont="1" applyFill="1" applyBorder="1" applyAlignment="1">
      <alignment horizontal="left" wrapText="1"/>
    </xf>
    <xf numFmtId="49" fontId="9" fillId="0" borderId="27" xfId="0" applyNumberFormat="1" applyFont="1" applyFill="1" applyBorder="1" applyAlignment="1">
      <alignment horizontal="left" vertical="top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51" xfId="0" applyNumberFormat="1" applyFont="1" applyFill="1" applyBorder="1" applyAlignment="1">
      <alignment horizontal="left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0" fontId="9" fillId="0" borderId="11" xfId="0" applyNumberFormat="1" applyFont="1" applyFill="1" applyBorder="1" applyAlignment="1">
      <alignment horizontal="left" vertical="top" wrapText="1"/>
    </xf>
    <xf numFmtId="0" fontId="9" fillId="0" borderId="22" xfId="0" applyNumberFormat="1" applyFont="1" applyFill="1" applyBorder="1" applyAlignment="1">
      <alignment horizontal="left" vertical="top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2" xfId="5" applyNumberFormat="1" applyFont="1" applyFill="1" applyBorder="1" applyAlignment="1">
      <alignment horizontal="left" wrapText="1"/>
    </xf>
    <xf numFmtId="49" fontId="9" fillId="0" borderId="11" xfId="5" applyNumberFormat="1" applyFont="1" applyFill="1" applyBorder="1" applyAlignment="1">
      <alignment horizontal="center" wrapText="1"/>
    </xf>
    <xf numFmtId="49" fontId="9" fillId="0" borderId="11" xfId="7" applyNumberFormat="1" applyFont="1" applyFill="1" applyBorder="1" applyAlignment="1">
      <alignment horizontal="left" vertical="top" wrapText="1"/>
    </xf>
    <xf numFmtId="49" fontId="9" fillId="0" borderId="12" xfId="7" applyNumberFormat="1" applyFont="1" applyFill="1" applyBorder="1" applyAlignment="1">
      <alignment horizontal="left" vertical="top" wrapText="1"/>
    </xf>
    <xf numFmtId="49" fontId="9" fillId="0" borderId="22" xfId="7" applyNumberFormat="1" applyFont="1" applyFill="1" applyBorder="1" applyAlignment="1">
      <alignment horizontal="left" vertical="top" wrapText="1"/>
    </xf>
    <xf numFmtId="49" fontId="9" fillId="0" borderId="1" xfId="7" applyNumberFormat="1" applyFont="1" applyFill="1" applyBorder="1" applyAlignment="1">
      <alignment horizontal="left" vertical="top" wrapText="1"/>
    </xf>
    <xf numFmtId="49" fontId="9" fillId="0" borderId="44" xfId="7" applyNumberFormat="1" applyFont="1" applyFill="1" applyBorder="1" applyAlignment="1">
      <alignment horizontal="left" vertical="top" wrapText="1"/>
    </xf>
    <xf numFmtId="49" fontId="9" fillId="0" borderId="46" xfId="0" applyNumberFormat="1" applyFont="1" applyFill="1" applyBorder="1" applyAlignment="1">
      <alignment horizontal="center" vertical="top" wrapText="1"/>
    </xf>
    <xf numFmtId="0" fontId="9" fillId="0" borderId="22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44" xfId="0" applyFont="1" applyBorder="1" applyAlignment="1">
      <alignment horizontal="left"/>
    </xf>
    <xf numFmtId="49" fontId="2" fillId="0" borderId="11" xfId="1" applyNumberFormat="1" applyFill="1" applyBorder="1" applyAlignment="1" applyProtection="1">
      <alignment horizontal="left" vertical="top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47" xfId="6" applyNumberFormat="1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left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" xfId="6" applyNumberFormat="1" applyFont="1" applyFill="1" applyBorder="1" applyAlignment="1">
      <alignment horizontal="center" vertical="center" wrapText="1"/>
    </xf>
    <xf numFmtId="49" fontId="9" fillId="0" borderId="25" xfId="6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left" vertical="top" wrapText="1"/>
    </xf>
    <xf numFmtId="49" fontId="9" fillId="0" borderId="9" xfId="0" applyNumberFormat="1" applyFont="1" applyFill="1" applyBorder="1" applyAlignment="1">
      <alignment horizontal="left" vertical="top" wrapText="1"/>
    </xf>
    <xf numFmtId="49" fontId="9" fillId="0" borderId="31" xfId="5" applyNumberFormat="1" applyFont="1" applyFill="1" applyBorder="1" applyAlignment="1">
      <alignment horizontal="center" wrapText="1"/>
    </xf>
    <xf numFmtId="49" fontId="9" fillId="0" borderId="5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wrapText="1"/>
    </xf>
    <xf numFmtId="49" fontId="9" fillId="0" borderId="1" xfId="5" applyNumberFormat="1" applyFont="1" applyFill="1" applyBorder="1" applyAlignment="1">
      <alignment wrapText="1"/>
    </xf>
    <xf numFmtId="49" fontId="9" fillId="0" borderId="44" xfId="5" applyNumberFormat="1" applyFont="1" applyFill="1" applyBorder="1" applyAlignment="1">
      <alignment wrapText="1"/>
    </xf>
    <xf numFmtId="49" fontId="9" fillId="0" borderId="46" xfId="5" applyNumberFormat="1" applyFont="1" applyFill="1" applyBorder="1" applyAlignment="1">
      <alignment horizontal="center" wrapText="1"/>
    </xf>
    <xf numFmtId="49" fontId="9" fillId="0" borderId="20" xfId="0" applyNumberFormat="1" applyFont="1" applyFill="1" applyBorder="1" applyAlignment="1">
      <alignment horizontal="left" vertical="top" wrapText="1"/>
    </xf>
    <xf numFmtId="49" fontId="9" fillId="0" borderId="34" xfId="0" applyNumberFormat="1" applyFont="1" applyFill="1" applyBorder="1" applyAlignment="1">
      <alignment horizontal="left" vertical="top" wrapText="1"/>
    </xf>
    <xf numFmtId="49" fontId="9" fillId="0" borderId="50" xfId="0" applyNumberFormat="1" applyFont="1" applyFill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0" fontId="9" fillId="0" borderId="11" xfId="6" applyNumberFormat="1" applyFont="1" applyFill="1" applyBorder="1" applyAlignment="1">
      <alignment horizontal="left" vertical="center" wrapText="1"/>
    </xf>
    <xf numFmtId="49" fontId="9" fillId="0" borderId="11" xfId="6" applyNumberFormat="1" applyFont="1" applyFill="1" applyBorder="1" applyAlignment="1">
      <alignment horizontal="left" vertical="center" wrapText="1"/>
    </xf>
    <xf numFmtId="49" fontId="9" fillId="0" borderId="22" xfId="6" applyNumberFormat="1" applyFont="1" applyFill="1" applyBorder="1" applyAlignment="1">
      <alignment horizontal="left" vertical="center" wrapText="1"/>
    </xf>
    <xf numFmtId="49" fontId="2" fillId="0" borderId="22" xfId="1" applyNumberFormat="1" applyFill="1" applyBorder="1" applyAlignment="1" applyProtection="1">
      <alignment horizontal="left" vertical="top" wrapText="1"/>
    </xf>
    <xf numFmtId="49" fontId="9" fillId="0" borderId="15" xfId="7" applyNumberFormat="1" applyFont="1" applyFill="1" applyBorder="1" applyAlignment="1">
      <alignment horizontal="left" vertical="top" wrapText="1"/>
    </xf>
    <xf numFmtId="49" fontId="9" fillId="0" borderId="27" xfId="7" applyNumberFormat="1" applyFont="1" applyFill="1" applyBorder="1" applyAlignment="1">
      <alignment horizontal="left" vertical="top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38" xfId="0" applyNumberFormat="1" applyFont="1" applyFill="1" applyBorder="1" applyAlignment="1">
      <alignment horizontal="left" vertical="top" wrapText="1"/>
    </xf>
    <xf numFmtId="49" fontId="9" fillId="0" borderId="39" xfId="0" applyNumberFormat="1" applyFont="1" applyFill="1" applyBorder="1" applyAlignment="1">
      <alignment horizontal="left" vertical="top" wrapText="1"/>
    </xf>
    <xf numFmtId="49" fontId="9" fillId="0" borderId="41" xfId="0" applyNumberFormat="1" applyFont="1" applyFill="1" applyBorder="1" applyAlignment="1">
      <alignment horizontal="left" vertical="top" wrapText="1"/>
    </xf>
    <xf numFmtId="49" fontId="9" fillId="0" borderId="18" xfId="5" applyNumberFormat="1" applyFont="1" applyFill="1" applyBorder="1" applyAlignment="1">
      <alignment horizontal="left" wrapText="1"/>
    </xf>
    <xf numFmtId="49" fontId="9" fillId="0" borderId="19" xfId="5" applyNumberFormat="1" applyFont="1" applyFill="1" applyBorder="1" applyAlignment="1">
      <alignment horizontal="left" wrapText="1"/>
    </xf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18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19</xdr:col>
      <xdr:colOff>647700</xdr:colOff>
      <xdr:row>48</xdr:row>
      <xdr:rowOff>114300</xdr:rowOff>
    </xdr:to>
    <xdr:pic>
      <xdr:nvPicPr>
        <xdr:cNvPr id="1198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43200" y="10287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19</xdr:col>
      <xdr:colOff>647700</xdr:colOff>
      <xdr:row>95</xdr:row>
      <xdr:rowOff>114300</xdr:rowOff>
    </xdr:to>
    <xdr:pic>
      <xdr:nvPicPr>
        <xdr:cNvPr id="11981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743200" y="908685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19</xdr:col>
      <xdr:colOff>647700</xdr:colOff>
      <xdr:row>142</xdr:row>
      <xdr:rowOff>114300</xdr:rowOff>
    </xdr:to>
    <xdr:pic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743200" y="171450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kailas@usindiacom" TargetMode="External"/><Relationship Id="rId7" Type="http://schemas.openxmlformats.org/officeDocument/2006/relationships/comments" Target="../comments4.xml"/><Relationship Id="rId2" Type="http://schemas.openxmlformats.org/officeDocument/2006/relationships/hyperlink" Target="mailto:kailas@123" TargetMode="External"/><Relationship Id="rId1" Type="http://schemas.openxmlformats.org/officeDocument/2006/relationships/hyperlink" Target="mailto:klandge82@gmail.com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3"/>
  <sheetViews>
    <sheetView tabSelected="1"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A5" sqref="A5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107"/>
      <c r="C3" s="108"/>
      <c r="D3" s="109"/>
      <c r="E3" s="110"/>
      <c r="F3" s="110"/>
      <c r="G3" s="110"/>
      <c r="H3" s="110"/>
      <c r="I3" s="110"/>
      <c r="J3" s="111"/>
      <c r="K3" s="101">
        <f ca="1">IF($D3="",0,MAX(INDIRECT("'"&amp;$D3&amp;"'!$H3:$AZ3")))</f>
        <v>0</v>
      </c>
      <c r="L3" s="102"/>
      <c r="M3" s="102"/>
      <c r="N3" s="103"/>
      <c r="O3" s="107" t="str">
        <f ca="1">IF($D3="","",COUNTIF(INDIRECT("'"&amp;$D3&amp;"'!$H"&amp;ROW(INDIRECT("'"&amp;$D3&amp;"'!TestResult"))&amp;":$AZ"&amp;ROW(INDIRECT("'"&amp;$D3&amp;"'!TestResult"))),O$9))</f>
        <v/>
      </c>
      <c r="P3" s="112"/>
      <c r="Q3" s="108"/>
      <c r="R3" s="107" t="str">
        <f ca="1">IF($D3="","",COUNTIF(INDIRECT("'"&amp;$D3&amp;"'!$H"&amp;ROW(INDIRECT("'"&amp;$D3&amp;"'!TestResult"))&amp;":$AZ"&amp;ROW(INDIRECT("'"&amp;$D3&amp;"'!TestResult"))),R$9))</f>
        <v/>
      </c>
      <c r="S3" s="112"/>
      <c r="T3" s="108"/>
      <c r="U3" s="107" t="str">
        <f ca="1">IF($D3="","",COUNTIF(INDIRECT("'"&amp;$D3&amp;"'!$H"&amp;ROW(INDIRECT("'"&amp;$D3&amp;"'!TestResult"))&amp;":$AZ"&amp;ROW(INDIRECT("'"&amp;$D3&amp;"'!TestResult"))),U$9))</f>
        <v/>
      </c>
      <c r="V3" s="112"/>
      <c r="W3" s="108"/>
      <c r="X3" s="107" t="str">
        <f ca="1">IF($D3="","",COUNTIF(INDIRECT("'"&amp;$D3&amp;"'!$H"&amp;ROW(INDIRECT("'"&amp;$D3&amp;"'!TestResult"))&amp;":$AZ"&amp;ROW(INDIRECT("'"&amp;$D3&amp;"'!TestResult"))),X$9))</f>
        <v/>
      </c>
      <c r="Y3" s="112"/>
      <c r="Z3" s="108"/>
      <c r="AA3" s="101">
        <f ca="1">SUM(O3:Z3)</f>
        <v>0</v>
      </c>
      <c r="AB3" s="102"/>
      <c r="AC3" s="102"/>
      <c r="AD3" s="103"/>
      <c r="AE3" s="101">
        <f ca="1">K3-AA3</f>
        <v>0</v>
      </c>
      <c r="AF3" s="102"/>
      <c r="AG3" s="102"/>
      <c r="AH3" s="103"/>
      <c r="AI3" s="104" t="str">
        <f ca="1">IF($D3="","",SUM(INDIRECT("'"&amp;$D3&amp;"'!BugCount")))</f>
        <v/>
      </c>
      <c r="AJ3" s="105"/>
      <c r="AK3" s="105"/>
      <c r="AL3" s="106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53" t="s">
        <v>200</v>
      </c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5"/>
    </row>
    <row r="8" spans="1:38" ht="13.5" customHeight="1">
      <c r="B8" s="131"/>
      <c r="C8" s="132"/>
      <c r="D8" s="131"/>
      <c r="E8" s="133"/>
      <c r="F8" s="133"/>
      <c r="G8" s="133"/>
      <c r="H8" s="133"/>
      <c r="I8" s="133"/>
      <c r="J8" s="132"/>
      <c r="K8" s="140" t="s">
        <v>2</v>
      </c>
      <c r="L8" s="141"/>
      <c r="M8" s="141"/>
      <c r="N8" s="142"/>
      <c r="O8" s="146" t="s">
        <v>1</v>
      </c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8"/>
      <c r="AA8" s="140" t="s">
        <v>33</v>
      </c>
      <c r="AB8" s="141"/>
      <c r="AC8" s="141"/>
      <c r="AD8" s="142"/>
      <c r="AE8" s="140" t="s">
        <v>33</v>
      </c>
      <c r="AF8" s="141"/>
      <c r="AG8" s="141"/>
      <c r="AH8" s="142"/>
      <c r="AI8" s="137"/>
      <c r="AJ8" s="138"/>
      <c r="AK8" s="138"/>
      <c r="AL8" s="139"/>
    </row>
    <row r="9" spans="1:38" s="4" customFormat="1">
      <c r="B9" s="128" t="s">
        <v>15</v>
      </c>
      <c r="C9" s="129"/>
      <c r="D9" s="128" t="s">
        <v>16</v>
      </c>
      <c r="E9" s="130"/>
      <c r="F9" s="130"/>
      <c r="G9" s="130"/>
      <c r="H9" s="130"/>
      <c r="I9" s="130"/>
      <c r="J9" s="129"/>
      <c r="K9" s="143" t="s">
        <v>31</v>
      </c>
      <c r="L9" s="144"/>
      <c r="M9" s="144"/>
      <c r="N9" s="145"/>
      <c r="O9" s="149" t="s">
        <v>17</v>
      </c>
      <c r="P9" s="150"/>
      <c r="Q9" s="151"/>
      <c r="R9" s="149" t="s">
        <v>18</v>
      </c>
      <c r="S9" s="150"/>
      <c r="T9" s="151"/>
      <c r="U9" s="149" t="s">
        <v>19</v>
      </c>
      <c r="V9" s="150"/>
      <c r="W9" s="151"/>
      <c r="X9" s="149" t="s">
        <v>20</v>
      </c>
      <c r="Y9" s="150"/>
      <c r="Z9" s="151"/>
      <c r="AA9" s="143" t="s">
        <v>32</v>
      </c>
      <c r="AB9" s="144"/>
      <c r="AC9" s="144"/>
      <c r="AD9" s="145"/>
      <c r="AE9" s="143" t="s">
        <v>34</v>
      </c>
      <c r="AF9" s="144"/>
      <c r="AG9" s="144"/>
      <c r="AH9" s="145"/>
      <c r="AI9" s="134" t="s">
        <v>35</v>
      </c>
      <c r="AJ9" s="135"/>
      <c r="AK9" s="135"/>
      <c r="AL9" s="136"/>
    </row>
    <row r="10" spans="1:38" s="4" customFormat="1">
      <c r="B10" s="107">
        <v>1</v>
      </c>
      <c r="C10" s="108"/>
      <c r="D10" s="109" t="s">
        <v>49</v>
      </c>
      <c r="E10" s="110"/>
      <c r="F10" s="110"/>
      <c r="G10" s="110"/>
      <c r="H10" s="110"/>
      <c r="I10" s="110"/>
      <c r="J10" s="111"/>
      <c r="K10" s="101">
        <f ca="1">IF($D10="",0,MAX(INDIRECT("'"&amp;$D10&amp;"'!$H3:$AZ3")))</f>
        <v>24</v>
      </c>
      <c r="L10" s="102"/>
      <c r="M10" s="102"/>
      <c r="N10" s="103"/>
      <c r="O10" s="107">
        <f ca="1">IF($D10="","",COUNTIF(INDIRECT("'"&amp;$D10&amp;"'!$H"&amp;ROW(INDIRECT("'"&amp;$D10&amp;"'!TestResult"))&amp;":$AZ"&amp;ROW(INDIRECT("'"&amp;$D10&amp;"'!TestResult"))),O$9))</f>
        <v>24</v>
      </c>
      <c r="P10" s="112"/>
      <c r="Q10" s="108"/>
      <c r="R10" s="107">
        <f ca="1">IF($D10="","",COUNTIF(INDIRECT("'"&amp;$D10&amp;"'!$H"&amp;ROW(INDIRECT("'"&amp;$D10&amp;"'!TestResult"))&amp;":$AZ"&amp;ROW(INDIRECT("'"&amp;$D10&amp;"'!TestResult"))),R$9))</f>
        <v>0</v>
      </c>
      <c r="S10" s="112"/>
      <c r="T10" s="108"/>
      <c r="U10" s="107">
        <f ca="1">IF($D10="","",COUNTIF(INDIRECT("'"&amp;$D10&amp;"'!$H"&amp;ROW(INDIRECT("'"&amp;$D10&amp;"'!TestResult"))&amp;":$AZ"&amp;ROW(INDIRECT("'"&amp;$D10&amp;"'!TestResult"))),U$9))</f>
        <v>0</v>
      </c>
      <c r="V10" s="112"/>
      <c r="W10" s="108"/>
      <c r="X10" s="107">
        <f ca="1">IF($D10="","",COUNTIF(INDIRECT("'"&amp;$D10&amp;"'!$H"&amp;ROW(INDIRECT("'"&amp;$D10&amp;"'!TestResult"))&amp;":$AZ"&amp;ROW(INDIRECT("'"&amp;$D10&amp;"'!TestResult"))),X$9))</f>
        <v>0</v>
      </c>
      <c r="Y10" s="112"/>
      <c r="Z10" s="108"/>
      <c r="AA10" s="101">
        <f ca="1">SUM(O10:Z10)</f>
        <v>24</v>
      </c>
      <c r="AB10" s="102"/>
      <c r="AC10" s="102"/>
      <c r="AD10" s="103"/>
      <c r="AE10" s="101">
        <f ca="1">K10-AA10</f>
        <v>0</v>
      </c>
      <c r="AF10" s="102"/>
      <c r="AG10" s="102"/>
      <c r="AH10" s="103"/>
      <c r="AI10" s="104">
        <f ca="1">IF($D10="","",SUM(INDIRECT("'"&amp;$D10&amp;"'!BugCount")))</f>
        <v>0</v>
      </c>
      <c r="AJ10" s="105"/>
      <c r="AK10" s="105"/>
      <c r="AL10" s="106"/>
    </row>
    <row r="11" spans="1:38" s="4" customFormat="1">
      <c r="B11" s="107">
        <v>2</v>
      </c>
      <c r="C11" s="108"/>
      <c r="D11" s="109" t="s">
        <v>54</v>
      </c>
      <c r="E11" s="110"/>
      <c r="F11" s="110"/>
      <c r="G11" s="110"/>
      <c r="H11" s="110"/>
      <c r="I11" s="110"/>
      <c r="J11" s="111"/>
      <c r="K11" s="101">
        <f ca="1">IF($D11="",0,MAX(INDIRECT("'"&amp;$D11&amp;"'!$H3:$AZ3")))</f>
        <v>22</v>
      </c>
      <c r="L11" s="102"/>
      <c r="M11" s="102"/>
      <c r="N11" s="103"/>
      <c r="O11" s="107">
        <f ca="1">IF($D11="","",COUNTIF(INDIRECT("'"&amp;$D11&amp;"'!$H"&amp;ROW(INDIRECT("'"&amp;$D11&amp;"'!TestResult"))&amp;":$AZ"&amp;ROW(INDIRECT("'"&amp;$D11&amp;"'!TestResult"))),O$9))</f>
        <v>22</v>
      </c>
      <c r="P11" s="112"/>
      <c r="Q11" s="108"/>
      <c r="R11" s="107">
        <f ca="1">IF($D11="","",COUNTIF(INDIRECT("'"&amp;$D11&amp;"'!$H"&amp;ROW(INDIRECT("'"&amp;$D11&amp;"'!TestResult"))&amp;":$AZ"&amp;ROW(INDIRECT("'"&amp;$D11&amp;"'!TestResult"))),R$9))</f>
        <v>0</v>
      </c>
      <c r="S11" s="112"/>
      <c r="T11" s="108"/>
      <c r="U11" s="107">
        <f ca="1">IF($D11="","",COUNTIF(INDIRECT("'"&amp;$D11&amp;"'!$H"&amp;ROW(INDIRECT("'"&amp;$D11&amp;"'!TestResult"))&amp;":$AZ"&amp;ROW(INDIRECT("'"&amp;$D11&amp;"'!TestResult"))),U$9))</f>
        <v>0</v>
      </c>
      <c r="V11" s="112"/>
      <c r="W11" s="108"/>
      <c r="X11" s="107">
        <f ca="1">IF($D11="","",COUNTIF(INDIRECT("'"&amp;$D11&amp;"'!$H"&amp;ROW(INDIRECT("'"&amp;$D11&amp;"'!TestResult"))&amp;":$AZ"&amp;ROW(INDIRECT("'"&amp;$D11&amp;"'!TestResult"))),X$9))</f>
        <v>0</v>
      </c>
      <c r="Y11" s="112"/>
      <c r="Z11" s="108"/>
      <c r="AA11" s="101">
        <f ca="1">SUM(O11:Z11)</f>
        <v>22</v>
      </c>
      <c r="AB11" s="102"/>
      <c r="AC11" s="102"/>
      <c r="AD11" s="103"/>
      <c r="AE11" s="101">
        <f ca="1">K11-AA11</f>
        <v>0</v>
      </c>
      <c r="AF11" s="102"/>
      <c r="AG11" s="102"/>
      <c r="AH11" s="103"/>
      <c r="AI11" s="104">
        <f ca="1">IF($D11="","",SUM(INDIRECT("'"&amp;$D11&amp;"'!BugCount")))</f>
        <v>0</v>
      </c>
      <c r="AJ11" s="105"/>
      <c r="AK11" s="105"/>
      <c r="AL11" s="106"/>
    </row>
    <row r="12" spans="1:38" s="4" customFormat="1">
      <c r="B12" s="107">
        <v>3</v>
      </c>
      <c r="C12" s="108"/>
      <c r="D12" s="109" t="s">
        <v>108</v>
      </c>
      <c r="E12" s="110"/>
      <c r="F12" s="110"/>
      <c r="G12" s="110"/>
      <c r="H12" s="110"/>
      <c r="I12" s="110"/>
      <c r="J12" s="111"/>
      <c r="K12" s="101">
        <f ca="1">IF($D12="",0,MAX(INDIRECT("'"&amp;$D12&amp;"'!$H3:$AZ3")))</f>
        <v>1</v>
      </c>
      <c r="L12" s="102"/>
      <c r="M12" s="102"/>
      <c r="N12" s="103"/>
      <c r="O12" s="107">
        <f ca="1">IF($D12="","",COUNTIF(INDIRECT("'"&amp;$D12&amp;"'!$H"&amp;ROW(INDIRECT("'"&amp;$D12&amp;"'!TestResult"))&amp;":$AZ"&amp;ROW(INDIRECT("'"&amp;$D12&amp;"'!TestResult"))),O$9))</f>
        <v>1</v>
      </c>
      <c r="P12" s="112"/>
      <c r="Q12" s="108"/>
      <c r="R12" s="107">
        <f ca="1">IF($D12="","",COUNTIF(INDIRECT("'"&amp;$D12&amp;"'!$H"&amp;ROW(INDIRECT("'"&amp;$D12&amp;"'!TestResult"))&amp;":$AZ"&amp;ROW(INDIRECT("'"&amp;$D12&amp;"'!TestResult"))),R$9))</f>
        <v>0</v>
      </c>
      <c r="S12" s="112"/>
      <c r="T12" s="108"/>
      <c r="U12" s="107">
        <f ca="1">IF($D12="","",COUNTIF(INDIRECT("'"&amp;$D12&amp;"'!$H"&amp;ROW(INDIRECT("'"&amp;$D12&amp;"'!TestResult"))&amp;":$AZ"&amp;ROW(INDIRECT("'"&amp;$D12&amp;"'!TestResult"))),U$9))</f>
        <v>0</v>
      </c>
      <c r="V12" s="112"/>
      <c r="W12" s="108"/>
      <c r="X12" s="107">
        <f ca="1">IF($D12="","",COUNTIF(INDIRECT("'"&amp;$D12&amp;"'!$H"&amp;ROW(INDIRECT("'"&amp;$D12&amp;"'!TestResult"))&amp;":$AZ"&amp;ROW(INDIRECT("'"&amp;$D12&amp;"'!TestResult"))),X$9))</f>
        <v>0</v>
      </c>
      <c r="Y12" s="112"/>
      <c r="Z12" s="108"/>
      <c r="AA12" s="101">
        <f ca="1">SUM(O12:Z12)</f>
        <v>1</v>
      </c>
      <c r="AB12" s="102"/>
      <c r="AC12" s="102"/>
      <c r="AD12" s="103"/>
      <c r="AE12" s="101">
        <f ca="1">K12-AA12</f>
        <v>0</v>
      </c>
      <c r="AF12" s="102"/>
      <c r="AG12" s="102"/>
      <c r="AH12" s="103"/>
      <c r="AI12" s="104">
        <f ca="1">IF($D12="","",SUM(INDIRECT("'"&amp;$D12&amp;"'!BugCount")))</f>
        <v>0</v>
      </c>
      <c r="AJ12" s="105"/>
      <c r="AK12" s="105"/>
      <c r="AL12" s="106"/>
    </row>
    <row r="13" spans="1:38" s="4" customFormat="1">
      <c r="B13" s="107">
        <v>4</v>
      </c>
      <c r="C13" s="108"/>
      <c r="D13" s="109"/>
      <c r="E13" s="110"/>
      <c r="F13" s="110"/>
      <c r="G13" s="110"/>
      <c r="H13" s="110"/>
      <c r="I13" s="110"/>
      <c r="J13" s="111"/>
      <c r="K13" s="101">
        <f ca="1">IF($D13="",0,MAX(INDIRECT("'"&amp;$D13&amp;"'!$H3:$AZ3")))</f>
        <v>0</v>
      </c>
      <c r="L13" s="102"/>
      <c r="M13" s="102"/>
      <c r="N13" s="103"/>
      <c r="O13" s="107" t="str">
        <f ca="1">IF($D13="","",COUNTIF(INDIRECT("'"&amp;$D13&amp;"'!$H"&amp;ROW(INDIRECT("'"&amp;$D13&amp;"'!TestResult"))&amp;":$AZ"&amp;ROW(INDIRECT("'"&amp;$D13&amp;"'!TestResult"))),O$9))</f>
        <v/>
      </c>
      <c r="P13" s="112"/>
      <c r="Q13" s="108"/>
      <c r="R13" s="107" t="str">
        <f ca="1">IF($D13="","",COUNTIF(INDIRECT("'"&amp;$D13&amp;"'!$H"&amp;ROW(INDIRECT("'"&amp;$D13&amp;"'!TestResult"))&amp;":$AZ"&amp;ROW(INDIRECT("'"&amp;$D13&amp;"'!TestResult"))),R$9))</f>
        <v/>
      </c>
      <c r="S13" s="112"/>
      <c r="T13" s="108"/>
      <c r="U13" s="107" t="str">
        <f ca="1">IF($D13="","",COUNTIF(INDIRECT("'"&amp;$D13&amp;"'!$H"&amp;ROW(INDIRECT("'"&amp;$D13&amp;"'!TestResult"))&amp;":$AZ"&amp;ROW(INDIRECT("'"&amp;$D13&amp;"'!TestResult"))),U$9))</f>
        <v/>
      </c>
      <c r="V13" s="112"/>
      <c r="W13" s="108"/>
      <c r="X13" s="107" t="str">
        <f ca="1">IF($D13="","",COUNTIF(INDIRECT("'"&amp;$D13&amp;"'!$H"&amp;ROW(INDIRECT("'"&amp;$D13&amp;"'!TestResult"))&amp;":$AZ"&amp;ROW(INDIRECT("'"&amp;$D13&amp;"'!TestResult"))),X$9))</f>
        <v/>
      </c>
      <c r="Y13" s="112"/>
      <c r="Z13" s="108"/>
      <c r="AA13" s="101">
        <f ca="1">SUM(O13:Z13)</f>
        <v>0</v>
      </c>
      <c r="AB13" s="102"/>
      <c r="AC13" s="102"/>
      <c r="AD13" s="103"/>
      <c r="AE13" s="101">
        <f ca="1">K13-AA13</f>
        <v>0</v>
      </c>
      <c r="AF13" s="102"/>
      <c r="AG13" s="102"/>
      <c r="AH13" s="103"/>
      <c r="AI13" s="104" t="str">
        <f ca="1">IF($D13="","",SUM(INDIRECT("'"&amp;$D13&amp;"'!BugCount")))</f>
        <v/>
      </c>
      <c r="AJ13" s="105"/>
      <c r="AK13" s="105"/>
      <c r="AL13" s="106"/>
    </row>
    <row r="14" spans="1:38" s="8" customFormat="1" ht="20.25">
      <c r="B14" s="5"/>
      <c r="C14" s="5"/>
      <c r="D14" s="6"/>
      <c r="E14" s="52"/>
      <c r="F14" s="52"/>
      <c r="G14" s="52"/>
      <c r="H14" s="52"/>
      <c r="I14" s="52"/>
      <c r="J14" s="52"/>
      <c r="K14" s="7"/>
      <c r="L14" s="7"/>
      <c r="M14" s="7"/>
      <c r="N14" s="7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"/>
      <c r="AG14" s="7"/>
      <c r="AH14" s="7"/>
      <c r="AI14" s="7"/>
      <c r="AJ14" s="7"/>
      <c r="AK14" s="7"/>
      <c r="AL14" s="7"/>
    </row>
    <row r="15" spans="1:38" s="4" customFormat="1">
      <c r="A15" s="4" t="s">
        <v>41</v>
      </c>
      <c r="B15" s="125" t="s">
        <v>2</v>
      </c>
      <c r="C15" s="126"/>
      <c r="D15" s="126"/>
      <c r="E15" s="126"/>
      <c r="F15" s="126"/>
      <c r="G15" s="126"/>
      <c r="H15" s="126"/>
      <c r="I15" s="126"/>
      <c r="J15" s="127"/>
      <c r="K15" s="116">
        <f ca="1">SUBTOTAL(9,K9:K14)</f>
        <v>47</v>
      </c>
      <c r="L15" s="117"/>
      <c r="M15" s="117"/>
      <c r="N15" s="118"/>
      <c r="O15" s="113">
        <f ca="1">SUBTOTAL(9,O9:O14)</f>
        <v>47</v>
      </c>
      <c r="P15" s="114"/>
      <c r="Q15" s="115"/>
      <c r="R15" s="113">
        <f ca="1">SUBTOTAL(9,R9:R14)</f>
        <v>0</v>
      </c>
      <c r="S15" s="114"/>
      <c r="T15" s="115"/>
      <c r="U15" s="113">
        <f ca="1">SUBTOTAL(9,U9:U14)</f>
        <v>0</v>
      </c>
      <c r="V15" s="114"/>
      <c r="W15" s="115"/>
      <c r="X15" s="113">
        <f ca="1">SUBTOTAL(9,X9:X14)</f>
        <v>0</v>
      </c>
      <c r="Y15" s="114"/>
      <c r="Z15" s="115"/>
      <c r="AA15" s="113">
        <f ca="1">SUBTOTAL(9,AA9:AA14)</f>
        <v>47</v>
      </c>
      <c r="AB15" s="114"/>
      <c r="AC15" s="114"/>
      <c r="AD15" s="115"/>
      <c r="AE15" s="113">
        <f ca="1">SUBTOTAL(9,AE9:AE14)</f>
        <v>0</v>
      </c>
      <c r="AF15" s="114"/>
      <c r="AG15" s="114"/>
      <c r="AH15" s="115"/>
      <c r="AI15" s="116">
        <f ca="1">SUBTOTAL(9,AI9:AI14)</f>
        <v>0</v>
      </c>
      <c r="AJ15" s="117"/>
      <c r="AK15" s="117"/>
      <c r="AL15" s="118"/>
    </row>
    <row r="16" spans="1:38" s="4" customFormat="1" ht="12.75" customHeight="1">
      <c r="B16" s="125" t="s">
        <v>3</v>
      </c>
      <c r="C16" s="126"/>
      <c r="D16" s="126"/>
      <c r="E16" s="126"/>
      <c r="F16" s="126"/>
      <c r="G16" s="126"/>
      <c r="H16" s="126"/>
      <c r="I16" s="126"/>
      <c r="J16" s="127"/>
      <c r="K16" s="119"/>
      <c r="L16" s="120"/>
      <c r="M16" s="120"/>
      <c r="N16" s="121"/>
      <c r="O16" s="122">
        <f ca="1">IF(ISERR(O15/$K$15),0,O15/$K$15)</f>
        <v>1</v>
      </c>
      <c r="P16" s="123"/>
      <c r="Q16" s="124"/>
      <c r="R16" s="122">
        <f ca="1">IF(ISERR(R15/$K$15),0,R15/$K$15)</f>
        <v>0</v>
      </c>
      <c r="S16" s="123"/>
      <c r="T16" s="124"/>
      <c r="U16" s="122">
        <f ca="1">IF(ISERR(U15/$K$15),0,U15/$K$15)</f>
        <v>0</v>
      </c>
      <c r="V16" s="123"/>
      <c r="W16" s="124"/>
      <c r="X16" s="122">
        <f ca="1">IF(ISERR(X15/$K$15),0,X15/$K$15)</f>
        <v>0</v>
      </c>
      <c r="Y16" s="123"/>
      <c r="Z16" s="124"/>
      <c r="AA16" s="122">
        <f ca="1">IF(ISERR(AA15/$K$15),0,AA15/$K$15)</f>
        <v>1</v>
      </c>
      <c r="AB16" s="123"/>
      <c r="AC16" s="123"/>
      <c r="AD16" s="124"/>
      <c r="AE16" s="122">
        <f ca="1">IF(ISERR(AE15/$K$15),0,AE15/$K$15)</f>
        <v>0</v>
      </c>
      <c r="AF16" s="123"/>
      <c r="AG16" s="123"/>
      <c r="AH16" s="124"/>
      <c r="AI16" s="119"/>
      <c r="AJ16" s="120"/>
      <c r="AK16" s="120"/>
      <c r="AL16" s="121"/>
    </row>
    <row r="32" spans="2:15" ht="15" customHeight="1">
      <c r="B32" s="152" t="s">
        <v>48</v>
      </c>
      <c r="C32" s="152"/>
      <c r="D32" s="152"/>
      <c r="E32" s="152"/>
      <c r="F32" s="152"/>
      <c r="G32" s="152"/>
      <c r="H32" s="152"/>
      <c r="I32" s="152"/>
      <c r="J32" s="152"/>
      <c r="K32" s="152"/>
      <c r="L32" s="152"/>
      <c r="M32" s="152"/>
      <c r="N32" s="152"/>
      <c r="O32" s="152"/>
    </row>
    <row r="33" spans="2:15">
      <c r="B33" s="152"/>
      <c r="C33" s="152"/>
      <c r="D33" s="152"/>
      <c r="E33" s="152"/>
      <c r="F33" s="152"/>
      <c r="G33" s="152"/>
      <c r="H33" s="152"/>
      <c r="I33" s="152"/>
      <c r="J33" s="152"/>
      <c r="K33" s="152"/>
      <c r="L33" s="152"/>
      <c r="M33" s="152"/>
      <c r="N33" s="152"/>
      <c r="O33" s="152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85">
    <mergeCell ref="B32:O33"/>
    <mergeCell ref="U16:W16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B8:C8"/>
    <mergeCell ref="D8:J8"/>
    <mergeCell ref="AI9:AL9"/>
    <mergeCell ref="K10:N10"/>
    <mergeCell ref="R10:T10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AI15:AL16"/>
    <mergeCell ref="AE10:AH10"/>
    <mergeCell ref="AE15:AH15"/>
    <mergeCell ref="AE16:AH16"/>
    <mergeCell ref="X11:Z11"/>
    <mergeCell ref="AA11:AD11"/>
    <mergeCell ref="AE11:AH11"/>
    <mergeCell ref="X16:Z16"/>
    <mergeCell ref="X10:Z10"/>
    <mergeCell ref="X15:Z15"/>
    <mergeCell ref="AA10:AD10"/>
    <mergeCell ref="AA15:AD15"/>
    <mergeCell ref="AA12:AD12"/>
    <mergeCell ref="AI11:AL11"/>
    <mergeCell ref="AA16:AD16"/>
    <mergeCell ref="X12:Z12"/>
    <mergeCell ref="B16:J16"/>
    <mergeCell ref="B10:C10"/>
    <mergeCell ref="B9:C9"/>
    <mergeCell ref="D9:J9"/>
    <mergeCell ref="B12:C12"/>
    <mergeCell ref="D12:J12"/>
    <mergeCell ref="R15:T15"/>
    <mergeCell ref="U10:W10"/>
    <mergeCell ref="U15:W15"/>
    <mergeCell ref="D10:J10"/>
    <mergeCell ref="B11:C11"/>
    <mergeCell ref="D11:J11"/>
    <mergeCell ref="K11:N11"/>
    <mergeCell ref="O11:Q11"/>
    <mergeCell ref="K15:N16"/>
    <mergeCell ref="O10:Q10"/>
    <mergeCell ref="O15:Q15"/>
    <mergeCell ref="O16:Q16"/>
    <mergeCell ref="R16:T16"/>
    <mergeCell ref="R11:T11"/>
    <mergeCell ref="U11:W11"/>
    <mergeCell ref="B15:J15"/>
    <mergeCell ref="AE12:AH12"/>
    <mergeCell ref="AI12:AL12"/>
    <mergeCell ref="B13:C13"/>
    <mergeCell ref="D13:J13"/>
    <mergeCell ref="K13:N13"/>
    <mergeCell ref="O13:Q13"/>
    <mergeCell ref="R13:T13"/>
    <mergeCell ref="U13:W13"/>
    <mergeCell ref="X13:Z13"/>
    <mergeCell ref="AA13:AD13"/>
    <mergeCell ref="AE13:AH13"/>
    <mergeCell ref="AI13:AL13"/>
    <mergeCell ref="K12:N12"/>
    <mergeCell ref="O12:Q12"/>
    <mergeCell ref="R12:T12"/>
    <mergeCell ref="U12:W12"/>
  </mergeCells>
  <phoneticPr fontId="3"/>
  <conditionalFormatting sqref="K14:AL14 K4:AL4 AI3:AL3 K3:AE3 AI10:AL13 K10:AE13">
    <cfRule type="cellIs" dxfId="17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2" t="s">
        <v>8</v>
      </c>
      <c r="C1" s="183"/>
      <c r="D1" s="183"/>
      <c r="E1" s="184"/>
      <c r="F1" s="182" t="s">
        <v>6</v>
      </c>
      <c r="G1" s="183"/>
      <c r="H1" s="183"/>
      <c r="I1" s="183"/>
      <c r="J1" s="183"/>
      <c r="K1" s="183"/>
      <c r="L1" s="183"/>
      <c r="M1" s="183"/>
      <c r="N1" s="183"/>
      <c r="O1" s="184"/>
      <c r="P1" s="191" t="s">
        <v>0</v>
      </c>
      <c r="Q1" s="192"/>
      <c r="R1" s="192"/>
      <c r="S1" s="193"/>
      <c r="T1" s="182" t="s">
        <v>9</v>
      </c>
      <c r="U1" s="183"/>
      <c r="V1" s="183"/>
      <c r="W1" s="183"/>
      <c r="X1" s="183"/>
      <c r="Y1" s="183"/>
      <c r="Z1" s="184"/>
      <c r="AA1" s="194" t="s">
        <v>10</v>
      </c>
      <c r="AB1" s="194"/>
      <c r="AC1" s="195"/>
      <c r="AD1" s="195"/>
      <c r="AE1" s="195"/>
      <c r="AF1" s="196"/>
    </row>
    <row r="2" spans="1:32" ht="20.100000000000001" customHeight="1" thickBot="1">
      <c r="A2" s="64" t="s">
        <v>4</v>
      </c>
      <c r="B2" s="185" t="s">
        <v>8</v>
      </c>
      <c r="C2" s="186"/>
      <c r="D2" s="186"/>
      <c r="E2" s="187"/>
      <c r="F2" s="185" t="s">
        <v>7</v>
      </c>
      <c r="G2" s="186"/>
      <c r="H2" s="187"/>
      <c r="I2" s="188" t="s">
        <v>11</v>
      </c>
      <c r="J2" s="189"/>
      <c r="K2" s="189"/>
      <c r="L2" s="189"/>
      <c r="M2" s="189"/>
      <c r="N2" s="189"/>
      <c r="O2" s="190"/>
      <c r="P2" s="185"/>
      <c r="Q2" s="186"/>
      <c r="R2" s="186"/>
      <c r="S2" s="186"/>
      <c r="T2" s="186"/>
      <c r="U2" s="186"/>
      <c r="V2" s="186"/>
      <c r="W2" s="186"/>
      <c r="X2" s="186"/>
      <c r="Y2" s="186"/>
      <c r="Z2" s="187"/>
      <c r="AA2" s="197" t="s">
        <v>12</v>
      </c>
      <c r="AB2" s="198"/>
      <c r="AC2" s="185" t="s">
        <v>13</v>
      </c>
      <c r="AD2" s="186"/>
      <c r="AE2" s="186"/>
      <c r="AF2" s="199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4" t="s">
        <v>44</v>
      </c>
      <c r="B4" s="172" t="s">
        <v>21</v>
      </c>
      <c r="C4" s="172"/>
      <c r="D4" s="172"/>
      <c r="E4" s="172"/>
      <c r="F4" s="172"/>
      <c r="G4" s="17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5"/>
      <c r="B5" s="176" t="s">
        <v>22</v>
      </c>
      <c r="C5" s="177"/>
      <c r="D5" s="177"/>
      <c r="E5" s="177"/>
      <c r="F5" s="177"/>
      <c r="G5" s="17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75"/>
      <c r="B6" s="21"/>
      <c r="C6" s="178" t="s">
        <v>23</v>
      </c>
      <c r="D6" s="179"/>
      <c r="E6" s="179"/>
      <c r="F6" s="179"/>
      <c r="G6" s="179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75"/>
      <c r="B7" s="21"/>
      <c r="C7" s="180"/>
      <c r="D7" s="176"/>
      <c r="E7" s="179"/>
      <c r="F7" s="179"/>
      <c r="G7" s="179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75"/>
      <c r="B8" s="21"/>
      <c r="C8" s="180"/>
      <c r="D8" s="176"/>
      <c r="E8" s="179"/>
      <c r="F8" s="179"/>
      <c r="G8" s="179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75"/>
      <c r="B9" s="21"/>
      <c r="C9" s="181" t="s">
        <v>24</v>
      </c>
      <c r="D9" s="179"/>
      <c r="E9" s="179"/>
      <c r="F9" s="179"/>
      <c r="G9" s="179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5"/>
      <c r="B10" s="21"/>
      <c r="C10" s="180"/>
      <c r="D10" s="176"/>
      <c r="E10" s="179"/>
      <c r="F10" s="179"/>
      <c r="G10" s="179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75"/>
      <c r="B11" s="21"/>
      <c r="C11" s="180"/>
      <c r="D11" s="176"/>
      <c r="E11" s="179"/>
      <c r="F11" s="179"/>
      <c r="G11" s="179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75"/>
      <c r="B12" s="21"/>
      <c r="C12" s="176"/>
      <c r="D12" s="179"/>
      <c r="E12" s="179"/>
      <c r="F12" s="179"/>
      <c r="G12" s="179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5"/>
      <c r="B13" s="21"/>
      <c r="C13" s="180"/>
      <c r="D13" s="176"/>
      <c r="E13" s="179"/>
      <c r="F13" s="179"/>
      <c r="G13" s="179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75"/>
      <c r="B14" s="21"/>
      <c r="C14" s="180"/>
      <c r="D14" s="176"/>
      <c r="E14" s="179"/>
      <c r="F14" s="179"/>
      <c r="G14" s="179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68" t="s">
        <v>45</v>
      </c>
      <c r="B15" s="171" t="s">
        <v>25</v>
      </c>
      <c r="C15" s="172"/>
      <c r="D15" s="172"/>
      <c r="E15" s="172"/>
      <c r="F15" s="172"/>
      <c r="G15" s="172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69"/>
      <c r="B16" s="28"/>
      <c r="C16" s="158" t="s">
        <v>26</v>
      </c>
      <c r="D16" s="159"/>
      <c r="E16" s="159"/>
      <c r="F16" s="159"/>
      <c r="G16" s="159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69"/>
      <c r="B17" s="173"/>
      <c r="C17" s="158" t="s">
        <v>27</v>
      </c>
      <c r="D17" s="159"/>
      <c r="E17" s="159"/>
      <c r="F17" s="159"/>
      <c r="G17" s="159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69"/>
      <c r="B18" s="173"/>
      <c r="C18" s="158" t="s">
        <v>28</v>
      </c>
      <c r="D18" s="159"/>
      <c r="E18" s="159"/>
      <c r="F18" s="159"/>
      <c r="G18" s="159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69"/>
      <c r="B19" s="173"/>
      <c r="C19" s="158" t="s">
        <v>29</v>
      </c>
      <c r="D19" s="159"/>
      <c r="E19" s="159"/>
      <c r="F19" s="159"/>
      <c r="G19" s="159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69"/>
      <c r="B20" s="173"/>
      <c r="C20" s="158"/>
      <c r="D20" s="159"/>
      <c r="E20" s="159"/>
      <c r="F20" s="159"/>
      <c r="G20" s="159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69"/>
      <c r="B21" s="173"/>
      <c r="C21" s="158"/>
      <c r="D21" s="159"/>
      <c r="E21" s="159"/>
      <c r="F21" s="159"/>
      <c r="G21" s="159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69"/>
      <c r="B22" s="173"/>
      <c r="C22" s="158"/>
      <c r="D22" s="159"/>
      <c r="E22" s="159"/>
      <c r="F22" s="159"/>
      <c r="G22" s="159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70"/>
      <c r="B23" s="173"/>
      <c r="C23" s="156"/>
      <c r="D23" s="157"/>
      <c r="E23" s="157"/>
      <c r="F23" s="157"/>
      <c r="G23" s="157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60" t="s">
        <v>46</v>
      </c>
      <c r="B24" s="162"/>
      <c r="C24" s="163"/>
      <c r="D24" s="163"/>
      <c r="E24" s="163"/>
      <c r="F24" s="164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61"/>
      <c r="B25" s="165"/>
      <c r="C25" s="166"/>
      <c r="D25" s="166"/>
      <c r="E25" s="166"/>
      <c r="F25" s="167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61"/>
      <c r="B26" s="165"/>
      <c r="C26" s="166"/>
      <c r="D26" s="166"/>
      <c r="E26" s="166"/>
      <c r="F26" s="167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61"/>
      <c r="B27" s="165"/>
      <c r="C27" s="166"/>
      <c r="D27" s="166"/>
      <c r="E27" s="166"/>
      <c r="F27" s="167"/>
      <c r="G27" s="46" t="s">
        <v>39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200" t="s">
        <v>47</v>
      </c>
      <c r="B28" s="202" t="s">
        <v>40</v>
      </c>
      <c r="C28" s="202"/>
      <c r="D28" s="202"/>
      <c r="E28" s="202"/>
      <c r="F28" s="203" t="str">
        <f>GetBugSheetName()</f>
        <v>Evidence_</v>
      </c>
      <c r="G28" s="204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01"/>
      <c r="B29" s="188" t="s">
        <v>30</v>
      </c>
      <c r="C29" s="189"/>
      <c r="D29" s="189"/>
      <c r="E29" s="190"/>
      <c r="F29" s="188"/>
      <c r="G29" s="205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AA1:AB1"/>
    <mergeCell ref="AC1:AF1"/>
    <mergeCell ref="F2:H2"/>
    <mergeCell ref="AA2:AB2"/>
    <mergeCell ref="AC2:AF2"/>
    <mergeCell ref="B1:E1"/>
    <mergeCell ref="F1:O1"/>
    <mergeCell ref="B2:E2"/>
    <mergeCell ref="I2:O2"/>
    <mergeCell ref="P2:Z2"/>
    <mergeCell ref="P1:S1"/>
    <mergeCell ref="T1:Z1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</mergeCells>
  <phoneticPr fontId="3"/>
  <conditionalFormatting sqref="H3:AF29">
    <cfRule type="expression" dxfId="16" priority="1" stopIfTrue="1">
      <formula>H$27="NA"</formula>
    </cfRule>
    <cfRule type="expression" dxfId="15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58"/>
  <sheetViews>
    <sheetView view="pageBreakPreview" zoomScaleNormal="70" zoomScaleSheetLayoutView="100" workbookViewId="0">
      <pane xSplit="7" ySplit="3" topLeftCell="H19" activePane="bottomRight" state="frozen"/>
      <selection activeCell="A5" sqref="A5"/>
      <selection pane="topRight" activeCell="A5" sqref="A5"/>
      <selection pane="bottomLeft" activeCell="A5" sqref="A5"/>
      <selection pane="bottomRight" activeCell="C41" sqref="C41:G4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60</v>
      </c>
      <c r="B1" s="182" t="s">
        <v>116</v>
      </c>
      <c r="C1" s="183"/>
      <c r="D1" s="183"/>
      <c r="E1" s="184"/>
      <c r="F1" s="182" t="s">
        <v>199</v>
      </c>
      <c r="G1" s="183"/>
      <c r="H1" s="183"/>
      <c r="I1" s="183"/>
      <c r="J1" s="183"/>
      <c r="K1" s="183"/>
      <c r="L1" s="183"/>
      <c r="M1" s="183"/>
      <c r="N1" s="183"/>
      <c r="O1" s="184"/>
      <c r="P1" s="191" t="s">
        <v>61</v>
      </c>
      <c r="Q1" s="192"/>
      <c r="R1" s="192"/>
      <c r="S1" s="193"/>
      <c r="T1" s="182" t="s">
        <v>166</v>
      </c>
      <c r="U1" s="183"/>
      <c r="V1" s="183"/>
      <c r="W1" s="183"/>
      <c r="X1" s="183"/>
      <c r="Y1" s="183"/>
      <c r="Z1" s="184"/>
      <c r="AA1" s="194" t="s">
        <v>62</v>
      </c>
      <c r="AB1" s="194"/>
      <c r="AC1" s="195">
        <v>43697</v>
      </c>
      <c r="AD1" s="195"/>
      <c r="AE1" s="195"/>
      <c r="AF1" s="196"/>
    </row>
    <row r="2" spans="1:32" ht="20.100000000000001" customHeight="1" thickBot="1">
      <c r="A2" s="64" t="s">
        <v>63</v>
      </c>
      <c r="B2" s="185" t="s">
        <v>117</v>
      </c>
      <c r="C2" s="186"/>
      <c r="D2" s="186"/>
      <c r="E2" s="187"/>
      <c r="F2" s="185" t="s">
        <v>118</v>
      </c>
      <c r="G2" s="186"/>
      <c r="H2" s="187"/>
      <c r="I2" s="188" t="s">
        <v>120</v>
      </c>
      <c r="J2" s="189"/>
      <c r="K2" s="189"/>
      <c r="L2" s="189"/>
      <c r="M2" s="189"/>
      <c r="N2" s="189"/>
      <c r="O2" s="190"/>
      <c r="P2" s="185"/>
      <c r="Q2" s="186"/>
      <c r="R2" s="186"/>
      <c r="S2" s="186"/>
      <c r="T2" s="186"/>
      <c r="U2" s="186"/>
      <c r="V2" s="186"/>
      <c r="W2" s="186"/>
      <c r="X2" s="186"/>
      <c r="Y2" s="186"/>
      <c r="Z2" s="187"/>
      <c r="AA2" s="197" t="s">
        <v>139</v>
      </c>
      <c r="AB2" s="198"/>
      <c r="AC2" s="185" t="s">
        <v>140</v>
      </c>
      <c r="AD2" s="186"/>
      <c r="AE2" s="186"/>
      <c r="AF2" s="199"/>
    </row>
    <row r="3" spans="1:32" ht="37.5" customHeight="1" thickBot="1">
      <c r="A3" s="66" t="s">
        <v>64</v>
      </c>
      <c r="B3" s="10"/>
      <c r="C3" s="10"/>
      <c r="D3" s="10"/>
      <c r="E3" s="10"/>
      <c r="F3" s="10"/>
      <c r="G3" s="65" t="s">
        <v>65</v>
      </c>
      <c r="H3" s="11">
        <f>IF(COUNTA(H4:H52)&gt;0,1,"")</f>
        <v>1</v>
      </c>
      <c r="I3" s="12">
        <f t="shared" ref="I3:AF3" si="0">IF(COUNTA(I4:I52)&gt;0,IF(H3&gt;0,H3+1,""),"")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 t="str">
        <f t="shared" si="0"/>
        <v/>
      </c>
    </row>
    <row r="4" spans="1:32" s="17" customFormat="1" ht="13.5" customHeight="1">
      <c r="A4" s="174" t="s">
        <v>66</v>
      </c>
      <c r="B4" s="172" t="s">
        <v>123</v>
      </c>
      <c r="C4" s="172"/>
      <c r="D4" s="172"/>
      <c r="E4" s="172"/>
      <c r="F4" s="172"/>
      <c r="G4" s="21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5"/>
      <c r="B5" s="176" t="s">
        <v>49</v>
      </c>
      <c r="C5" s="177"/>
      <c r="D5" s="177"/>
      <c r="E5" s="177"/>
      <c r="F5" s="177"/>
      <c r="G5" s="216"/>
      <c r="H5" s="18" t="s">
        <v>50</v>
      </c>
      <c r="I5" s="90" t="s">
        <v>50</v>
      </c>
      <c r="J5" s="90" t="s">
        <v>50</v>
      </c>
      <c r="K5" s="90" t="s">
        <v>50</v>
      </c>
      <c r="L5" s="90" t="s">
        <v>50</v>
      </c>
      <c r="M5" s="90" t="s">
        <v>50</v>
      </c>
      <c r="N5" s="90" t="s">
        <v>50</v>
      </c>
      <c r="O5" s="90" t="s">
        <v>50</v>
      </c>
      <c r="P5" s="90" t="s">
        <v>50</v>
      </c>
      <c r="Q5" s="90" t="s">
        <v>50</v>
      </c>
      <c r="R5" s="90" t="s">
        <v>50</v>
      </c>
      <c r="S5" s="90" t="s">
        <v>50</v>
      </c>
      <c r="T5" s="90" t="s">
        <v>50</v>
      </c>
      <c r="U5" s="90" t="s">
        <v>50</v>
      </c>
      <c r="V5" s="90" t="s">
        <v>50</v>
      </c>
      <c r="W5" s="90" t="s">
        <v>50</v>
      </c>
      <c r="X5" s="90" t="s">
        <v>50</v>
      </c>
      <c r="Y5" s="90" t="s">
        <v>50</v>
      </c>
      <c r="Z5" s="90" t="s">
        <v>50</v>
      </c>
      <c r="AA5" s="90" t="s">
        <v>50</v>
      </c>
      <c r="AB5" s="90" t="s">
        <v>50</v>
      </c>
      <c r="AC5" s="96" t="s">
        <v>50</v>
      </c>
      <c r="AD5" s="96" t="s">
        <v>50</v>
      </c>
      <c r="AE5" s="96" t="s">
        <v>50</v>
      </c>
      <c r="AF5" s="20"/>
    </row>
    <row r="6" spans="1:32" s="17" customFormat="1" ht="13.5" customHeight="1">
      <c r="A6" s="175"/>
      <c r="B6" s="221"/>
      <c r="C6" s="206" t="s">
        <v>141</v>
      </c>
      <c r="D6" s="206"/>
      <c r="E6" s="206"/>
      <c r="F6" s="206"/>
      <c r="G6" s="207"/>
      <c r="H6" s="85" t="s">
        <v>50</v>
      </c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75"/>
      <c r="B7" s="222"/>
      <c r="C7" s="206" t="s">
        <v>142</v>
      </c>
      <c r="D7" s="206"/>
      <c r="E7" s="206"/>
      <c r="F7" s="206"/>
      <c r="G7" s="207"/>
      <c r="H7" s="85"/>
      <c r="I7" s="99" t="s">
        <v>50</v>
      </c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75"/>
      <c r="B8" s="222"/>
      <c r="C8" s="176" t="s">
        <v>67</v>
      </c>
      <c r="D8" s="179"/>
      <c r="E8" s="179"/>
      <c r="F8" s="179"/>
      <c r="G8" s="217"/>
      <c r="H8" s="22"/>
      <c r="I8" s="23"/>
      <c r="J8" s="23" t="s">
        <v>50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75"/>
      <c r="B9" s="222"/>
      <c r="C9" s="206" t="s">
        <v>143</v>
      </c>
      <c r="D9" s="206"/>
      <c r="E9" s="206"/>
      <c r="F9" s="206"/>
      <c r="G9" s="207"/>
      <c r="H9" s="22"/>
      <c r="I9" s="23"/>
      <c r="J9" s="23"/>
      <c r="K9" s="23" t="s">
        <v>50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5"/>
      <c r="B10" s="222"/>
      <c r="C10" s="206" t="s">
        <v>71</v>
      </c>
      <c r="D10" s="206"/>
      <c r="E10" s="206"/>
      <c r="F10" s="206"/>
      <c r="G10" s="207"/>
      <c r="H10" s="22"/>
      <c r="I10" s="23"/>
      <c r="J10" s="23"/>
      <c r="K10" s="23"/>
      <c r="L10" s="23" t="s">
        <v>50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75"/>
      <c r="B11" s="222"/>
      <c r="C11" s="206" t="s">
        <v>130</v>
      </c>
      <c r="D11" s="206"/>
      <c r="E11" s="206"/>
      <c r="F11" s="206"/>
      <c r="G11" s="207"/>
      <c r="H11" s="22"/>
      <c r="I11" s="23"/>
      <c r="J11" s="23"/>
      <c r="K11" s="23"/>
      <c r="L11" s="23"/>
      <c r="M11" s="23" t="s">
        <v>50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75"/>
      <c r="B12" s="222"/>
      <c r="C12" s="206" t="s">
        <v>144</v>
      </c>
      <c r="D12" s="206"/>
      <c r="E12" s="206"/>
      <c r="F12" s="206"/>
      <c r="G12" s="207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5"/>
      <c r="B13" s="222"/>
      <c r="C13" s="208"/>
      <c r="D13" s="206" t="s">
        <v>55</v>
      </c>
      <c r="E13" s="206"/>
      <c r="F13" s="206"/>
      <c r="G13" s="207"/>
      <c r="H13" s="22"/>
      <c r="I13" s="23"/>
      <c r="J13" s="23"/>
      <c r="K13" s="23"/>
      <c r="L13" s="23"/>
      <c r="M13" s="23"/>
      <c r="N13" s="23" t="s">
        <v>50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75"/>
      <c r="B14" s="222"/>
      <c r="C14" s="208"/>
      <c r="D14" s="206" t="s">
        <v>76</v>
      </c>
      <c r="E14" s="206"/>
      <c r="F14" s="206"/>
      <c r="G14" s="207"/>
      <c r="H14" s="22"/>
      <c r="I14" s="23"/>
      <c r="J14" s="23"/>
      <c r="K14" s="23"/>
      <c r="L14" s="23"/>
      <c r="M14" s="23"/>
      <c r="N14" s="23"/>
      <c r="O14" s="23" t="s">
        <v>50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5"/>
      <c r="B15" s="222"/>
      <c r="C15" s="206" t="s">
        <v>111</v>
      </c>
      <c r="D15" s="206"/>
      <c r="E15" s="206"/>
      <c r="F15" s="206"/>
      <c r="G15" s="207"/>
      <c r="H15" s="22"/>
      <c r="I15" s="23"/>
      <c r="J15" s="23"/>
      <c r="K15" s="23"/>
      <c r="L15" s="23"/>
      <c r="M15" s="23"/>
      <c r="N15" s="23"/>
      <c r="O15" s="23"/>
      <c r="P15" s="23" t="s">
        <v>50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75"/>
      <c r="B16" s="222"/>
      <c r="C16" s="206" t="s">
        <v>122</v>
      </c>
      <c r="D16" s="206"/>
      <c r="E16" s="206"/>
      <c r="F16" s="206"/>
      <c r="G16" s="207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75"/>
      <c r="B17" s="222"/>
      <c r="C17" s="206"/>
      <c r="D17" s="206" t="s">
        <v>145</v>
      </c>
      <c r="E17" s="206"/>
      <c r="F17" s="206"/>
      <c r="G17" s="207"/>
      <c r="H17" s="22"/>
      <c r="I17" s="23"/>
      <c r="J17" s="23"/>
      <c r="K17" s="23"/>
      <c r="L17" s="23"/>
      <c r="M17" s="23"/>
      <c r="N17" s="23"/>
      <c r="O17" s="23"/>
      <c r="P17" s="23"/>
      <c r="Q17" s="23" t="s">
        <v>50</v>
      </c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75"/>
      <c r="B18" s="222"/>
      <c r="C18" s="206"/>
      <c r="D18" s="206" t="s">
        <v>79</v>
      </c>
      <c r="E18" s="206"/>
      <c r="F18" s="206"/>
      <c r="G18" s="207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 t="s">
        <v>50</v>
      </c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75"/>
      <c r="B19" s="222"/>
      <c r="C19" s="206"/>
      <c r="D19" s="206" t="s">
        <v>62</v>
      </c>
      <c r="E19" s="206"/>
      <c r="F19" s="206"/>
      <c r="G19" s="207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 t="s">
        <v>50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75"/>
      <c r="B20" s="222"/>
      <c r="C20" s="206" t="s">
        <v>80</v>
      </c>
      <c r="D20" s="206"/>
      <c r="E20" s="206"/>
      <c r="F20" s="206"/>
      <c r="G20" s="207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 t="s">
        <v>50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75"/>
      <c r="B21" s="222"/>
      <c r="C21" s="206" t="s">
        <v>146</v>
      </c>
      <c r="D21" s="206"/>
      <c r="E21" s="206"/>
      <c r="F21" s="206"/>
      <c r="G21" s="207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75"/>
      <c r="B22" s="222"/>
      <c r="C22" s="208"/>
      <c r="D22" s="209" t="s">
        <v>82</v>
      </c>
      <c r="E22" s="206"/>
      <c r="F22" s="206"/>
      <c r="G22" s="207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 t="s">
        <v>50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75"/>
      <c r="B23" s="222"/>
      <c r="C23" s="208"/>
      <c r="D23" s="209" t="s">
        <v>83</v>
      </c>
      <c r="E23" s="206"/>
      <c r="F23" s="206"/>
      <c r="G23" s="207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 t="s">
        <v>50</v>
      </c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75"/>
      <c r="B24" s="222"/>
      <c r="C24" s="208"/>
      <c r="D24" s="209" t="s">
        <v>84</v>
      </c>
      <c r="E24" s="206"/>
      <c r="F24" s="206"/>
      <c r="G24" s="207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 t="s">
        <v>50</v>
      </c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75"/>
      <c r="B25" s="222"/>
      <c r="C25" s="208"/>
      <c r="D25" s="209" t="s">
        <v>85</v>
      </c>
      <c r="E25" s="206"/>
      <c r="F25" s="206"/>
      <c r="G25" s="207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 t="s">
        <v>50</v>
      </c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75"/>
      <c r="B26" s="222"/>
      <c r="C26" s="208"/>
      <c r="D26" s="179" t="s">
        <v>86</v>
      </c>
      <c r="E26" s="179"/>
      <c r="F26" s="179"/>
      <c r="G26" s="217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 t="s">
        <v>50</v>
      </c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75"/>
      <c r="B27" s="222"/>
      <c r="C27" s="176" t="s">
        <v>147</v>
      </c>
      <c r="D27" s="179"/>
      <c r="E27" s="179"/>
      <c r="F27" s="179"/>
      <c r="G27" s="217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50</v>
      </c>
      <c r="AA27" s="23"/>
      <c r="AB27" s="23"/>
      <c r="AC27" s="23"/>
      <c r="AD27" s="23"/>
      <c r="AE27" s="23"/>
      <c r="AF27" s="24"/>
    </row>
    <row r="28" spans="1:32" s="17" customFormat="1" ht="13.5" customHeight="1">
      <c r="A28" s="175"/>
      <c r="B28" s="222"/>
      <c r="C28" s="176" t="s">
        <v>148</v>
      </c>
      <c r="D28" s="179"/>
      <c r="E28" s="179"/>
      <c r="F28" s="179"/>
      <c r="G28" s="217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 t="s">
        <v>50</v>
      </c>
      <c r="AB28" s="23"/>
      <c r="AC28" s="23"/>
      <c r="AD28" s="23"/>
      <c r="AE28" s="23"/>
      <c r="AF28" s="24"/>
    </row>
    <row r="29" spans="1:32" s="17" customFormat="1" ht="13.5" customHeight="1">
      <c r="A29" s="175"/>
      <c r="B29" s="222"/>
      <c r="C29" s="206" t="s">
        <v>149</v>
      </c>
      <c r="D29" s="206"/>
      <c r="E29" s="206"/>
      <c r="F29" s="206"/>
      <c r="G29" s="207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75"/>
      <c r="B30" s="222"/>
      <c r="C30" s="208"/>
      <c r="D30" s="206" t="s">
        <v>150</v>
      </c>
      <c r="E30" s="206"/>
      <c r="F30" s="206"/>
      <c r="G30" s="207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 t="s">
        <v>50</v>
      </c>
      <c r="AC30" s="23"/>
      <c r="AD30" s="23"/>
      <c r="AE30" s="23"/>
      <c r="AF30" s="24"/>
    </row>
    <row r="31" spans="1:32" s="17" customFormat="1" ht="13.5" customHeight="1">
      <c r="A31" s="175"/>
      <c r="B31" s="222"/>
      <c r="C31" s="208"/>
      <c r="D31" s="206" t="s">
        <v>138</v>
      </c>
      <c r="E31" s="206"/>
      <c r="F31" s="206"/>
      <c r="G31" s="207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 t="s">
        <v>50</v>
      </c>
      <c r="AD31" s="23"/>
      <c r="AE31" s="23"/>
      <c r="AF31" s="24"/>
    </row>
    <row r="32" spans="1:32" s="17" customFormat="1" ht="13.5" customHeight="1">
      <c r="A32" s="175"/>
      <c r="B32" s="222"/>
      <c r="C32" s="208"/>
      <c r="D32" s="206" t="s">
        <v>151</v>
      </c>
      <c r="E32" s="206"/>
      <c r="F32" s="206"/>
      <c r="G32" s="207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 t="s">
        <v>50</v>
      </c>
      <c r="AE32" s="23"/>
      <c r="AF32" s="24"/>
    </row>
    <row r="33" spans="1:32" s="17" customFormat="1" ht="13.5" customHeight="1" thickBot="1">
      <c r="A33" s="175"/>
      <c r="B33" s="223"/>
      <c r="C33" s="206" t="s">
        <v>152</v>
      </c>
      <c r="D33" s="206"/>
      <c r="E33" s="206"/>
      <c r="F33" s="206"/>
      <c r="G33" s="207"/>
      <c r="H33" s="22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 t="s">
        <v>50</v>
      </c>
      <c r="AF33" s="24"/>
    </row>
    <row r="34" spans="1:32" s="17" customFormat="1" ht="13.5" customHeight="1">
      <c r="A34" s="168" t="s">
        <v>89</v>
      </c>
      <c r="B34" s="171" t="s">
        <v>57</v>
      </c>
      <c r="C34" s="172"/>
      <c r="D34" s="172"/>
      <c r="E34" s="172"/>
      <c r="F34" s="172"/>
      <c r="G34" s="172"/>
      <c r="H34" s="25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7"/>
    </row>
    <row r="35" spans="1:32" s="17" customFormat="1" ht="13.5" customHeight="1">
      <c r="A35" s="169"/>
      <c r="B35" s="208"/>
      <c r="C35" s="158" t="s">
        <v>153</v>
      </c>
      <c r="D35" s="159"/>
      <c r="E35" s="159"/>
      <c r="F35" s="159"/>
      <c r="G35" s="159"/>
      <c r="H35" s="22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169"/>
      <c r="B36" s="208"/>
      <c r="C36" s="218"/>
      <c r="D36" s="158" t="s">
        <v>129</v>
      </c>
      <c r="E36" s="159"/>
      <c r="F36" s="159"/>
      <c r="G36" s="212"/>
      <c r="H36" s="22" t="s">
        <v>50</v>
      </c>
      <c r="I36" s="23" t="s">
        <v>50</v>
      </c>
      <c r="J36" s="23"/>
      <c r="K36" s="23" t="s">
        <v>50</v>
      </c>
      <c r="L36" s="23" t="s">
        <v>50</v>
      </c>
      <c r="M36" s="23" t="s">
        <v>50</v>
      </c>
      <c r="N36" s="23" t="s">
        <v>50</v>
      </c>
      <c r="O36" s="23" t="s">
        <v>50</v>
      </c>
      <c r="P36" s="23" t="s">
        <v>50</v>
      </c>
      <c r="Q36" s="23" t="s">
        <v>50</v>
      </c>
      <c r="R36" s="23" t="s">
        <v>50</v>
      </c>
      <c r="S36" s="23" t="s">
        <v>50</v>
      </c>
      <c r="T36" s="23" t="s">
        <v>50</v>
      </c>
      <c r="U36" s="23"/>
      <c r="V36" s="23"/>
      <c r="W36" s="23"/>
      <c r="X36" s="23"/>
      <c r="Y36" s="23" t="s">
        <v>50</v>
      </c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169"/>
      <c r="B37" s="208"/>
      <c r="C37" s="219"/>
      <c r="D37" s="159" t="s">
        <v>154</v>
      </c>
      <c r="E37" s="159"/>
      <c r="F37" s="159"/>
      <c r="G37" s="212"/>
      <c r="H37" s="22" t="s">
        <v>50</v>
      </c>
      <c r="I37" s="23" t="s">
        <v>50</v>
      </c>
      <c r="J37" s="23"/>
      <c r="K37" s="23" t="s">
        <v>50</v>
      </c>
      <c r="L37" s="23" t="s">
        <v>50</v>
      </c>
      <c r="M37" s="23" t="s">
        <v>50</v>
      </c>
      <c r="N37" s="23"/>
      <c r="O37" s="23"/>
      <c r="P37" s="23" t="s">
        <v>50</v>
      </c>
      <c r="Q37" s="23"/>
      <c r="R37" s="23"/>
      <c r="S37" s="23"/>
      <c r="T37" s="23" t="s">
        <v>50</v>
      </c>
      <c r="U37" s="23"/>
      <c r="V37" s="23"/>
      <c r="W37" s="23"/>
      <c r="X37" s="23"/>
      <c r="Y37" s="23" t="s">
        <v>50</v>
      </c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169"/>
      <c r="B38" s="208"/>
      <c r="C38" s="219"/>
      <c r="D38" s="159" t="s">
        <v>155</v>
      </c>
      <c r="E38" s="159"/>
      <c r="F38" s="159"/>
      <c r="G38" s="212"/>
      <c r="H38" s="22"/>
      <c r="I38" s="23"/>
      <c r="J38" s="23" t="s">
        <v>50</v>
      </c>
      <c r="K38" s="23"/>
      <c r="L38" s="23"/>
      <c r="M38" s="23"/>
      <c r="N38" s="23"/>
      <c r="O38" s="23"/>
      <c r="P38" s="23"/>
      <c r="Q38" s="23" t="s">
        <v>50</v>
      </c>
      <c r="R38" s="23" t="s">
        <v>50</v>
      </c>
      <c r="S38" s="23" t="s">
        <v>50</v>
      </c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4"/>
    </row>
    <row r="39" spans="1:32" s="17" customFormat="1" ht="13.5" customHeight="1">
      <c r="A39" s="169"/>
      <c r="B39" s="208"/>
      <c r="C39" s="219"/>
      <c r="D39" s="159" t="s">
        <v>126</v>
      </c>
      <c r="E39" s="159"/>
      <c r="F39" s="159"/>
      <c r="G39" s="212"/>
      <c r="H39" s="22"/>
      <c r="I39" s="23"/>
      <c r="J39" s="23"/>
      <c r="K39" s="23"/>
      <c r="L39" s="23"/>
      <c r="M39" s="23"/>
      <c r="N39" s="23" t="s">
        <v>50</v>
      </c>
      <c r="O39" s="23" t="s">
        <v>50</v>
      </c>
      <c r="P39" s="23"/>
      <c r="Q39" s="23"/>
      <c r="R39" s="23"/>
      <c r="S39" s="23"/>
      <c r="T39" s="23"/>
      <c r="U39" s="23" t="s">
        <v>50</v>
      </c>
      <c r="V39" s="23" t="s">
        <v>50</v>
      </c>
      <c r="W39" s="23" t="s">
        <v>50</v>
      </c>
      <c r="X39" s="23" t="s">
        <v>50</v>
      </c>
      <c r="Y39" s="23"/>
      <c r="Z39" s="23"/>
      <c r="AA39" s="23"/>
      <c r="AB39" s="23"/>
      <c r="AC39" s="23"/>
      <c r="AD39" s="23"/>
      <c r="AE39" s="23"/>
      <c r="AF39" s="24"/>
    </row>
    <row r="40" spans="1:32" s="17" customFormat="1" ht="13.5" customHeight="1">
      <c r="A40" s="169"/>
      <c r="B40" s="208"/>
      <c r="C40" s="220"/>
      <c r="D40" s="159" t="s">
        <v>51</v>
      </c>
      <c r="E40" s="159"/>
      <c r="F40" s="159"/>
      <c r="G40" s="212"/>
      <c r="H40" s="22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 t="s">
        <v>50</v>
      </c>
      <c r="AC40" s="23" t="s">
        <v>50</v>
      </c>
      <c r="AD40" s="23" t="s">
        <v>50</v>
      </c>
      <c r="AE40" s="23"/>
      <c r="AF40" s="24"/>
    </row>
    <row r="41" spans="1:32" s="17" customFormat="1" ht="13.5" customHeight="1">
      <c r="A41" s="169"/>
      <c r="B41" s="208"/>
      <c r="C41" s="158" t="s">
        <v>161</v>
      </c>
      <c r="D41" s="159"/>
      <c r="E41" s="159"/>
      <c r="F41" s="159"/>
      <c r="G41" s="212"/>
      <c r="H41" s="22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4"/>
    </row>
    <row r="42" spans="1:32" s="17" customFormat="1" ht="13.5" customHeight="1">
      <c r="A42" s="169"/>
      <c r="B42" s="208"/>
      <c r="C42" s="213"/>
      <c r="D42" s="159" t="s">
        <v>70</v>
      </c>
      <c r="E42" s="159"/>
      <c r="F42" s="159"/>
      <c r="G42" s="212"/>
      <c r="H42" s="22" t="s">
        <v>50</v>
      </c>
      <c r="I42" s="23" t="s">
        <v>50</v>
      </c>
      <c r="J42" s="23"/>
      <c r="K42" s="23" t="s">
        <v>50</v>
      </c>
      <c r="L42" s="23" t="s">
        <v>50</v>
      </c>
      <c r="M42" s="23" t="s">
        <v>50</v>
      </c>
      <c r="N42" s="23" t="s">
        <v>50</v>
      </c>
      <c r="O42" s="23" t="s">
        <v>50</v>
      </c>
      <c r="P42" s="23" t="s">
        <v>50</v>
      </c>
      <c r="Q42" s="23" t="s">
        <v>50</v>
      </c>
      <c r="R42" s="23" t="s">
        <v>50</v>
      </c>
      <c r="S42" s="23" t="s">
        <v>50</v>
      </c>
      <c r="T42" s="23" t="s">
        <v>50</v>
      </c>
      <c r="U42" s="23"/>
      <c r="V42" s="23"/>
      <c r="W42" s="23"/>
      <c r="X42" s="23"/>
      <c r="Y42" s="23" t="s">
        <v>50</v>
      </c>
      <c r="Z42" s="23"/>
      <c r="AA42" s="23"/>
      <c r="AB42" s="23"/>
      <c r="AC42" s="23"/>
      <c r="AD42" s="23"/>
      <c r="AE42" s="23"/>
      <c r="AF42" s="24"/>
    </row>
    <row r="43" spans="1:32" s="17" customFormat="1" ht="13.5" customHeight="1">
      <c r="A43" s="169"/>
      <c r="B43" s="208"/>
      <c r="C43" s="214"/>
      <c r="D43" s="159" t="s">
        <v>162</v>
      </c>
      <c r="E43" s="159"/>
      <c r="F43" s="159"/>
      <c r="G43" s="212"/>
      <c r="H43" s="22"/>
      <c r="I43" s="23"/>
      <c r="J43" s="23" t="s">
        <v>50</v>
      </c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4"/>
    </row>
    <row r="44" spans="1:32" s="17" customFormat="1" ht="13.5" customHeight="1">
      <c r="A44" s="169"/>
      <c r="B44" s="208"/>
      <c r="C44" s="158" t="s">
        <v>156</v>
      </c>
      <c r="D44" s="159"/>
      <c r="E44" s="159"/>
      <c r="F44" s="159"/>
      <c r="G44" s="212"/>
      <c r="H44" s="22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4"/>
    </row>
    <row r="45" spans="1:32" s="17" customFormat="1" ht="13.5" customHeight="1">
      <c r="A45" s="169"/>
      <c r="B45" s="208"/>
      <c r="C45" s="95"/>
      <c r="D45" s="159" t="s">
        <v>157</v>
      </c>
      <c r="E45" s="159"/>
      <c r="F45" s="159"/>
      <c r="G45" s="212"/>
      <c r="H45" s="23" t="s">
        <v>50</v>
      </c>
      <c r="I45" s="23" t="s">
        <v>50</v>
      </c>
      <c r="J45" s="23" t="s">
        <v>50</v>
      </c>
      <c r="K45" s="23" t="s">
        <v>50</v>
      </c>
      <c r="L45" s="23" t="s">
        <v>50</v>
      </c>
      <c r="M45" s="23" t="s">
        <v>50</v>
      </c>
      <c r="N45" s="23" t="s">
        <v>50</v>
      </c>
      <c r="O45" s="23" t="s">
        <v>50</v>
      </c>
      <c r="P45" s="23" t="s">
        <v>50</v>
      </c>
      <c r="Q45" s="23" t="s">
        <v>50</v>
      </c>
      <c r="R45" s="23" t="s">
        <v>50</v>
      </c>
      <c r="S45" s="23" t="s">
        <v>50</v>
      </c>
      <c r="T45" s="23" t="s">
        <v>50</v>
      </c>
      <c r="U45" s="23" t="s">
        <v>50</v>
      </c>
      <c r="V45" s="23" t="s">
        <v>50</v>
      </c>
      <c r="W45" s="23" t="s">
        <v>50</v>
      </c>
      <c r="X45" s="23" t="s">
        <v>50</v>
      </c>
      <c r="Y45" s="23" t="s">
        <v>50</v>
      </c>
      <c r="Z45" s="23" t="s">
        <v>50</v>
      </c>
      <c r="AA45" s="23" t="s">
        <v>50</v>
      </c>
      <c r="AB45" s="23" t="s">
        <v>50</v>
      </c>
      <c r="AC45" s="23" t="s">
        <v>50</v>
      </c>
      <c r="AD45" s="23" t="s">
        <v>50</v>
      </c>
      <c r="AE45" s="23"/>
      <c r="AF45" s="24"/>
    </row>
    <row r="46" spans="1:32" s="17" customFormat="1" ht="13.5" customHeight="1">
      <c r="A46" s="169"/>
      <c r="B46" s="208"/>
      <c r="C46" s="158" t="s">
        <v>147</v>
      </c>
      <c r="D46" s="159"/>
      <c r="E46" s="159"/>
      <c r="F46" s="159"/>
      <c r="G46" s="212"/>
      <c r="H46" s="22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4"/>
    </row>
    <row r="47" spans="1:32" s="17" customFormat="1" ht="13.5" customHeight="1">
      <c r="A47" s="169"/>
      <c r="B47" s="208"/>
      <c r="C47" s="213"/>
      <c r="D47" s="159" t="s">
        <v>158</v>
      </c>
      <c r="E47" s="159"/>
      <c r="F47" s="159"/>
      <c r="G47" s="212"/>
      <c r="H47" s="22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 t="s">
        <v>50</v>
      </c>
      <c r="AA47" s="23"/>
      <c r="AB47" s="23"/>
      <c r="AC47" s="23"/>
      <c r="AD47" s="23"/>
      <c r="AE47" s="23"/>
      <c r="AF47" s="24"/>
    </row>
    <row r="48" spans="1:32" s="17" customFormat="1" ht="13.5" customHeight="1">
      <c r="A48" s="169"/>
      <c r="B48" s="208"/>
      <c r="C48" s="214"/>
      <c r="D48" s="159" t="s">
        <v>81</v>
      </c>
      <c r="E48" s="159"/>
      <c r="F48" s="159"/>
      <c r="G48" s="212"/>
      <c r="H48" s="22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 t="s">
        <v>50</v>
      </c>
      <c r="AA48" s="23"/>
      <c r="AB48" s="23"/>
      <c r="AC48" s="23"/>
      <c r="AD48" s="23"/>
      <c r="AE48" s="23"/>
      <c r="AF48" s="24"/>
    </row>
    <row r="49" spans="1:32" s="17" customFormat="1" ht="13.5" customHeight="1">
      <c r="A49" s="169"/>
      <c r="B49" s="208"/>
      <c r="C49" s="158" t="s">
        <v>148</v>
      </c>
      <c r="D49" s="159"/>
      <c r="E49" s="159"/>
      <c r="F49" s="159"/>
      <c r="G49" s="159"/>
      <c r="H49" s="22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4"/>
    </row>
    <row r="50" spans="1:32" s="17" customFormat="1" ht="13.5" customHeight="1">
      <c r="A50" s="169"/>
      <c r="B50" s="208"/>
      <c r="C50" s="95"/>
      <c r="D50" s="159" t="s">
        <v>158</v>
      </c>
      <c r="E50" s="159"/>
      <c r="F50" s="159"/>
      <c r="G50" s="212"/>
      <c r="H50" s="22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 t="s">
        <v>50</v>
      </c>
      <c r="AB50" s="23"/>
      <c r="AC50" s="23"/>
      <c r="AD50" s="23"/>
      <c r="AE50" s="23"/>
      <c r="AF50" s="24"/>
    </row>
    <row r="51" spans="1:32" s="17" customFormat="1" ht="13.5" customHeight="1" thickBot="1">
      <c r="A51" s="169"/>
      <c r="B51" s="208"/>
      <c r="C51" s="158" t="s">
        <v>131</v>
      </c>
      <c r="D51" s="159"/>
      <c r="E51" s="159"/>
      <c r="F51" s="159"/>
      <c r="G51" s="212"/>
      <c r="H51" s="22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 t="s">
        <v>50</v>
      </c>
      <c r="AF51" s="24"/>
    </row>
    <row r="52" spans="1:32" s="17" customFormat="1" ht="24" customHeight="1">
      <c r="A52" s="160" t="s">
        <v>100</v>
      </c>
      <c r="B52" s="162"/>
      <c r="C52" s="163"/>
      <c r="D52" s="210"/>
      <c r="E52" s="210"/>
      <c r="F52" s="211"/>
      <c r="G52" s="39" t="s">
        <v>101</v>
      </c>
      <c r="H52" s="36" t="s">
        <v>52</v>
      </c>
      <c r="I52" s="37" t="s">
        <v>52</v>
      </c>
      <c r="J52" s="37" t="s">
        <v>52</v>
      </c>
      <c r="K52" s="37" t="s">
        <v>52</v>
      </c>
      <c r="L52" s="37" t="s">
        <v>52</v>
      </c>
      <c r="M52" s="37" t="s">
        <v>52</v>
      </c>
      <c r="N52" s="37" t="s">
        <v>52</v>
      </c>
      <c r="O52" s="37" t="s">
        <v>52</v>
      </c>
      <c r="P52" s="37" t="s">
        <v>52</v>
      </c>
      <c r="Q52" s="37" t="s">
        <v>52</v>
      </c>
      <c r="R52" s="37" t="s">
        <v>52</v>
      </c>
      <c r="S52" s="37" t="s">
        <v>52</v>
      </c>
      <c r="T52" s="37" t="s">
        <v>52</v>
      </c>
      <c r="U52" s="37" t="s">
        <v>52</v>
      </c>
      <c r="V52" s="37" t="s">
        <v>52</v>
      </c>
      <c r="W52" s="37" t="s">
        <v>52</v>
      </c>
      <c r="X52" s="37" t="s">
        <v>52</v>
      </c>
      <c r="Y52" s="37" t="s">
        <v>52</v>
      </c>
      <c r="Z52" s="37" t="s">
        <v>52</v>
      </c>
      <c r="AA52" s="37" t="s">
        <v>52</v>
      </c>
      <c r="AB52" s="37" t="s">
        <v>52</v>
      </c>
      <c r="AC52" s="37" t="s">
        <v>52</v>
      </c>
      <c r="AD52" s="37" t="s">
        <v>52</v>
      </c>
      <c r="AE52" s="37" t="s">
        <v>53</v>
      </c>
      <c r="AF52" s="38"/>
    </row>
    <row r="53" spans="1:32" s="17" customFormat="1" ht="27" customHeight="1">
      <c r="A53" s="161"/>
      <c r="B53" s="165"/>
      <c r="C53" s="166"/>
      <c r="D53" s="166"/>
      <c r="E53" s="166"/>
      <c r="F53" s="167"/>
      <c r="G53" s="39" t="s">
        <v>102</v>
      </c>
      <c r="H53" s="40" t="s">
        <v>196</v>
      </c>
      <c r="I53" s="40" t="s">
        <v>196</v>
      </c>
      <c r="J53" s="40" t="s">
        <v>196</v>
      </c>
      <c r="K53" s="40" t="s">
        <v>196</v>
      </c>
      <c r="L53" s="40" t="s">
        <v>196</v>
      </c>
      <c r="M53" s="40" t="s">
        <v>196</v>
      </c>
      <c r="N53" s="40" t="s">
        <v>196</v>
      </c>
      <c r="O53" s="40" t="s">
        <v>196</v>
      </c>
      <c r="P53" s="40" t="s">
        <v>196</v>
      </c>
      <c r="Q53" s="40" t="s">
        <v>196</v>
      </c>
      <c r="R53" s="40" t="s">
        <v>196</v>
      </c>
      <c r="S53" s="40" t="s">
        <v>196</v>
      </c>
      <c r="T53" s="40" t="s">
        <v>196</v>
      </c>
      <c r="U53" s="40" t="s">
        <v>196</v>
      </c>
      <c r="V53" s="40" t="s">
        <v>196</v>
      </c>
      <c r="W53" s="40" t="s">
        <v>196</v>
      </c>
      <c r="X53" s="40" t="s">
        <v>196</v>
      </c>
      <c r="Y53" s="40" t="s">
        <v>196</v>
      </c>
      <c r="Z53" s="40" t="s">
        <v>196</v>
      </c>
      <c r="AA53" s="40" t="s">
        <v>196</v>
      </c>
      <c r="AB53" s="40" t="s">
        <v>196</v>
      </c>
      <c r="AC53" s="40" t="s">
        <v>196</v>
      </c>
      <c r="AD53" s="40" t="s">
        <v>196</v>
      </c>
      <c r="AE53" s="40" t="s">
        <v>196</v>
      </c>
      <c r="AF53" s="42"/>
    </row>
    <row r="54" spans="1:32" s="17" customFormat="1" ht="27" customHeight="1">
      <c r="A54" s="161"/>
      <c r="B54" s="165"/>
      <c r="C54" s="166"/>
      <c r="D54" s="166"/>
      <c r="E54" s="166"/>
      <c r="F54" s="167"/>
      <c r="G54" s="39" t="s">
        <v>103</v>
      </c>
      <c r="H54" s="43">
        <v>43697</v>
      </c>
      <c r="I54" s="43">
        <v>43697</v>
      </c>
      <c r="J54" s="43">
        <v>43697</v>
      </c>
      <c r="K54" s="43">
        <v>43697</v>
      </c>
      <c r="L54" s="43">
        <v>43697</v>
      </c>
      <c r="M54" s="43">
        <v>43697</v>
      </c>
      <c r="N54" s="43">
        <v>43697</v>
      </c>
      <c r="O54" s="43">
        <v>43697</v>
      </c>
      <c r="P54" s="43">
        <v>43697</v>
      </c>
      <c r="Q54" s="43">
        <v>43697</v>
      </c>
      <c r="R54" s="43">
        <v>43697</v>
      </c>
      <c r="S54" s="43">
        <v>43697</v>
      </c>
      <c r="T54" s="43">
        <v>43697</v>
      </c>
      <c r="U54" s="43">
        <v>43697</v>
      </c>
      <c r="V54" s="43">
        <v>43697</v>
      </c>
      <c r="W54" s="43">
        <v>43697</v>
      </c>
      <c r="X54" s="43">
        <v>43697</v>
      </c>
      <c r="Y54" s="43">
        <v>43697</v>
      </c>
      <c r="Z54" s="43">
        <v>43697</v>
      </c>
      <c r="AA54" s="43">
        <v>43697</v>
      </c>
      <c r="AB54" s="43">
        <v>43697</v>
      </c>
      <c r="AC54" s="43">
        <v>43697</v>
      </c>
      <c r="AD54" s="43">
        <v>43697</v>
      </c>
      <c r="AE54" s="43">
        <v>43697</v>
      </c>
      <c r="AF54" s="45"/>
    </row>
    <row r="55" spans="1:32" s="17" customFormat="1" ht="24.75" customHeight="1">
      <c r="A55" s="161"/>
      <c r="B55" s="165"/>
      <c r="C55" s="166"/>
      <c r="D55" s="166"/>
      <c r="E55" s="166"/>
      <c r="F55" s="167"/>
      <c r="G55" s="93" t="s">
        <v>104</v>
      </c>
      <c r="H55" s="40" t="s">
        <v>197</v>
      </c>
      <c r="I55" s="40" t="s">
        <v>197</v>
      </c>
      <c r="J55" s="40" t="s">
        <v>197</v>
      </c>
      <c r="K55" s="40" t="s">
        <v>197</v>
      </c>
      <c r="L55" s="40" t="s">
        <v>197</v>
      </c>
      <c r="M55" s="40" t="s">
        <v>197</v>
      </c>
      <c r="N55" s="40" t="s">
        <v>197</v>
      </c>
      <c r="O55" s="40" t="s">
        <v>197</v>
      </c>
      <c r="P55" s="40" t="s">
        <v>197</v>
      </c>
      <c r="Q55" s="40" t="s">
        <v>197</v>
      </c>
      <c r="R55" s="40" t="s">
        <v>197</v>
      </c>
      <c r="S55" s="40" t="s">
        <v>197</v>
      </c>
      <c r="T55" s="40" t="s">
        <v>197</v>
      </c>
      <c r="U55" s="40" t="s">
        <v>197</v>
      </c>
      <c r="V55" s="40" t="s">
        <v>197</v>
      </c>
      <c r="W55" s="40" t="s">
        <v>197</v>
      </c>
      <c r="X55" s="40" t="s">
        <v>197</v>
      </c>
      <c r="Y55" s="40" t="s">
        <v>197</v>
      </c>
      <c r="Z55" s="40" t="s">
        <v>197</v>
      </c>
      <c r="AA55" s="40" t="s">
        <v>197</v>
      </c>
      <c r="AB55" s="40" t="s">
        <v>197</v>
      </c>
      <c r="AC55" s="40" t="s">
        <v>197</v>
      </c>
      <c r="AD55" s="40" t="s">
        <v>197</v>
      </c>
      <c r="AE55" s="40" t="s">
        <v>197</v>
      </c>
      <c r="AF55" s="42"/>
    </row>
    <row r="56" spans="1:32" s="17" customFormat="1" ht="24.75" customHeight="1">
      <c r="A56" s="200" t="s">
        <v>105</v>
      </c>
      <c r="B56" s="202" t="s">
        <v>106</v>
      </c>
      <c r="C56" s="202"/>
      <c r="D56" s="202"/>
      <c r="E56" s="202"/>
      <c r="F56" s="203"/>
      <c r="G56" s="204"/>
      <c r="H56" s="60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54"/>
    </row>
    <row r="57" spans="1:32" s="17" customFormat="1" ht="36" customHeight="1" thickBot="1">
      <c r="A57" s="201"/>
      <c r="B57" s="188" t="s">
        <v>107</v>
      </c>
      <c r="C57" s="189"/>
      <c r="D57" s="189"/>
      <c r="E57" s="190"/>
      <c r="F57" s="188"/>
      <c r="G57" s="205"/>
      <c r="H57" s="61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 t="str">
        <f t="shared" ref="S57:AF57" si="1">IF(S56="","",(SUM(LEN(S56)-LEN(SUBSTITUTE(S56,",","")))/LEN(",")) + 1 )</f>
        <v/>
      </c>
      <c r="T57" s="55" t="str">
        <f t="shared" si="1"/>
        <v/>
      </c>
      <c r="U57" s="55" t="str">
        <f t="shared" si="1"/>
        <v/>
      </c>
      <c r="V57" s="55" t="str">
        <f t="shared" si="1"/>
        <v/>
      </c>
      <c r="W57" s="55" t="str">
        <f t="shared" si="1"/>
        <v/>
      </c>
      <c r="X57" s="55" t="str">
        <f t="shared" si="1"/>
        <v/>
      </c>
      <c r="Y57" s="55" t="str">
        <f t="shared" si="1"/>
        <v/>
      </c>
      <c r="Z57" s="55" t="str">
        <f t="shared" si="1"/>
        <v/>
      </c>
      <c r="AA57" s="55" t="str">
        <f t="shared" si="1"/>
        <v/>
      </c>
      <c r="AB57" s="55" t="str">
        <f t="shared" si="1"/>
        <v/>
      </c>
      <c r="AC57" s="55" t="str">
        <f t="shared" si="1"/>
        <v/>
      </c>
      <c r="AD57" s="55" t="str">
        <f t="shared" si="1"/>
        <v/>
      </c>
      <c r="AE57" s="55" t="str">
        <f t="shared" si="1"/>
        <v/>
      </c>
      <c r="AF57" s="56" t="str">
        <f t="shared" si="1"/>
        <v/>
      </c>
    </row>
    <row r="58" spans="1:32" s="17" customFormat="1">
      <c r="H58" s="47"/>
      <c r="I58" s="47"/>
      <c r="J58" s="47"/>
      <c r="K58" s="47"/>
      <c r="L58" s="47"/>
      <c r="M58" s="47"/>
      <c r="N58" s="48"/>
      <c r="O58" s="49"/>
      <c r="P58" s="47"/>
      <c r="Q58" s="47"/>
      <c r="R58" s="47"/>
      <c r="S58" s="47"/>
      <c r="T58" s="47"/>
      <c r="U58" s="47"/>
      <c r="V58" s="47"/>
    </row>
  </sheetData>
  <sheetProtection insertRows="0"/>
  <protectedRanges>
    <protectedRange sqref="H52:AF56" name="Range3_1_1"/>
    <protectedRange sqref="H4:AF51" name="Range2_1_1"/>
    <protectedRange sqref="B4:G33" name="Range2_1_2"/>
    <protectedRange sqref="C46:G48 B46:B51 B34:G45" name="Range2_1_3"/>
    <protectedRange sqref="C49:G50" name="Range2_1_8"/>
    <protectedRange sqref="C51:G51" name="Range2_1_8_1"/>
    <protectedRange sqref="B1:O1 P2 T1 AC1:AF1 B2:E2" name="Range1_1_1"/>
    <protectedRange sqref="P2 AC2:AF2" name="Range1_1_1_1"/>
  </protectedRanges>
  <mergeCells count="81">
    <mergeCell ref="D43:G43"/>
    <mergeCell ref="C42:C43"/>
    <mergeCell ref="B6:B33"/>
    <mergeCell ref="C7:G7"/>
    <mergeCell ref="C6:G6"/>
    <mergeCell ref="C30:C32"/>
    <mergeCell ref="D30:G30"/>
    <mergeCell ref="D32:G32"/>
    <mergeCell ref="C33:G33"/>
    <mergeCell ref="D25:G25"/>
    <mergeCell ref="D26:G26"/>
    <mergeCell ref="C27:G27"/>
    <mergeCell ref="C28:G28"/>
    <mergeCell ref="C29:G29"/>
    <mergeCell ref="D13:G13"/>
    <mergeCell ref="D14:G14"/>
    <mergeCell ref="C15:G15"/>
    <mergeCell ref="B35:B51"/>
    <mergeCell ref="D37:G37"/>
    <mergeCell ref="D38:G38"/>
    <mergeCell ref="D39:G39"/>
    <mergeCell ref="C44:G44"/>
    <mergeCell ref="D45:G45"/>
    <mergeCell ref="D40:G40"/>
    <mergeCell ref="D48:G48"/>
    <mergeCell ref="C49:G49"/>
    <mergeCell ref="D50:G50"/>
    <mergeCell ref="C51:G51"/>
    <mergeCell ref="C36:C40"/>
    <mergeCell ref="D36:G36"/>
    <mergeCell ref="C41:G41"/>
    <mergeCell ref="D42:G42"/>
    <mergeCell ref="A34:A51"/>
    <mergeCell ref="B34:G34"/>
    <mergeCell ref="C35:G35"/>
    <mergeCell ref="C9:G9"/>
    <mergeCell ref="C10:G10"/>
    <mergeCell ref="C11:G11"/>
    <mergeCell ref="C46:G46"/>
    <mergeCell ref="C47:C48"/>
    <mergeCell ref="D47:G47"/>
    <mergeCell ref="A4:A33"/>
    <mergeCell ref="B4:G4"/>
    <mergeCell ref="B5:G5"/>
    <mergeCell ref="C8:G8"/>
    <mergeCell ref="C20:G20"/>
    <mergeCell ref="C12:G12"/>
    <mergeCell ref="C13:C14"/>
    <mergeCell ref="AA2:AB2"/>
    <mergeCell ref="AA1:AB1"/>
    <mergeCell ref="AC1:AF1"/>
    <mergeCell ref="AC2:AF2"/>
    <mergeCell ref="T1:Z1"/>
    <mergeCell ref="B1:E1"/>
    <mergeCell ref="F1:O1"/>
    <mergeCell ref="B2:E2"/>
    <mergeCell ref="I2:O2"/>
    <mergeCell ref="P1:S1"/>
    <mergeCell ref="F2:H2"/>
    <mergeCell ref="P2:Z2"/>
    <mergeCell ref="A52:A55"/>
    <mergeCell ref="B52:F52"/>
    <mergeCell ref="B53:F53"/>
    <mergeCell ref="B54:F54"/>
    <mergeCell ref="A56:A57"/>
    <mergeCell ref="B56:E56"/>
    <mergeCell ref="F56:G56"/>
    <mergeCell ref="B57:E57"/>
    <mergeCell ref="F57:G57"/>
    <mergeCell ref="B55:F55"/>
    <mergeCell ref="C16:G16"/>
    <mergeCell ref="C17:C19"/>
    <mergeCell ref="D17:G17"/>
    <mergeCell ref="D18:G18"/>
    <mergeCell ref="D19:G19"/>
    <mergeCell ref="D31:G31"/>
    <mergeCell ref="C21:G21"/>
    <mergeCell ref="C22:C26"/>
    <mergeCell ref="D22:G22"/>
    <mergeCell ref="D23:G23"/>
    <mergeCell ref="D24:G24"/>
  </mergeCells>
  <phoneticPr fontId="3"/>
  <conditionalFormatting sqref="H3:AF57">
    <cfRule type="expression" dxfId="14" priority="19" stopIfTrue="1">
      <formula>H$55="NA"</formula>
    </cfRule>
    <cfRule type="expression" dxfId="13" priority="20" stopIfTrue="1">
      <formula>H$55="NG"</formula>
    </cfRule>
  </conditionalFormatting>
  <dataValidations count="10">
    <dataValidation type="list" allowBlank="1" showInputMessage="1" showErrorMessage="1" sqref="H52:AF52">
      <formula1>"N, A, B"</formula1>
    </dataValidation>
    <dataValidation type="list" allowBlank="1" showInputMessage="1" showErrorMessage="1" sqref="H55:AF55">
      <formula1>"OK, NG, NA, PT"</formula1>
    </dataValidation>
    <dataValidation allowBlank="1" showInputMessage="1" showErrorMessage="1" promptTitle="PCL sheet name" prompt=" " sqref="F56:G56"/>
    <dataValidation allowBlank="1" showInputMessage="1" showErrorMessage="1" promptTitle="Bug ID" prompt="Unique ID throughout the project._x000a_For every Bug found during Test as well as Re-Test, a new Bug ID needs to be entered here (as a comma seperated value)" sqref="B56:E5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55"/>
    <dataValidation allowBlank="1" showInputMessage="1" showErrorMessage="1" promptTitle="Testing Date" prompt="Date on which test was performed in yyyy/mm/dd format" sqref="G54"/>
    <dataValidation allowBlank="1" showInputMessage="1" showErrorMessage="1" promptTitle="Enter" prompt="Name of the person who performed the test" sqref="G53"/>
    <dataValidation allowBlank="1" showInputMessage="1" showErrorMessage="1" promptTitle="Condition Type" prompt="N : Normal _x000a_A : Abnormal _x000a_B : Boundary" sqref="G52"/>
    <dataValidation allowBlank="1" showInputMessage="1" showErrorMessage="1" promptTitle="Check points" prompt="that need / need not be executed" sqref="A34:A51"/>
    <dataValidation allowBlank="1" showInputMessage="1" showErrorMessage="1" promptTitle="Input conditions" prompt="that need to be checked." sqref="A4:A33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99"/>
  <sheetViews>
    <sheetView view="pageBreakPreview" zoomScaleNormal="70" zoomScaleSheetLayoutView="100" workbookViewId="0">
      <pane xSplit="7" ySplit="3" topLeftCell="H76" activePane="bottomRight" state="frozen"/>
      <selection activeCell="A5" sqref="A5"/>
      <selection pane="topRight" activeCell="A5" sqref="A5"/>
      <selection pane="bottomLeft" activeCell="A5" sqref="A5"/>
      <selection pane="bottomRight" activeCell="M89" sqref="M8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60</v>
      </c>
      <c r="B1" s="182" t="s">
        <v>116</v>
      </c>
      <c r="C1" s="183"/>
      <c r="D1" s="183"/>
      <c r="E1" s="184"/>
      <c r="F1" s="182" t="s">
        <v>198</v>
      </c>
      <c r="G1" s="183"/>
      <c r="H1" s="183"/>
      <c r="I1" s="183"/>
      <c r="J1" s="183"/>
      <c r="K1" s="183"/>
      <c r="L1" s="183"/>
      <c r="M1" s="183"/>
      <c r="N1" s="183"/>
      <c r="O1" s="184"/>
      <c r="P1" s="191" t="s">
        <v>61</v>
      </c>
      <c r="Q1" s="192"/>
      <c r="R1" s="192"/>
      <c r="S1" s="193"/>
      <c r="T1" s="182" t="s">
        <v>167</v>
      </c>
      <c r="U1" s="183"/>
      <c r="V1" s="183"/>
      <c r="W1" s="183"/>
      <c r="X1" s="183"/>
      <c r="Y1" s="183"/>
      <c r="Z1" s="184"/>
      <c r="AA1" s="194" t="s">
        <v>62</v>
      </c>
      <c r="AB1" s="194"/>
      <c r="AC1" s="195">
        <v>43697</v>
      </c>
      <c r="AD1" s="195"/>
      <c r="AE1" s="195"/>
      <c r="AF1" s="196"/>
    </row>
    <row r="2" spans="1:32" ht="20.100000000000001" customHeight="1" thickBot="1">
      <c r="A2" s="64" t="s">
        <v>63</v>
      </c>
      <c r="B2" s="185" t="s">
        <v>117</v>
      </c>
      <c r="C2" s="186"/>
      <c r="D2" s="186"/>
      <c r="E2" s="187"/>
      <c r="F2" s="185" t="s">
        <v>118</v>
      </c>
      <c r="G2" s="186"/>
      <c r="H2" s="187"/>
      <c r="I2" s="188" t="s">
        <v>54</v>
      </c>
      <c r="J2" s="189"/>
      <c r="K2" s="189"/>
      <c r="L2" s="189"/>
      <c r="M2" s="189"/>
      <c r="N2" s="189"/>
      <c r="O2" s="190"/>
      <c r="P2" s="185"/>
      <c r="Q2" s="186"/>
      <c r="R2" s="186"/>
      <c r="S2" s="186"/>
      <c r="T2" s="186"/>
      <c r="U2" s="186"/>
      <c r="V2" s="186"/>
      <c r="W2" s="186"/>
      <c r="X2" s="186"/>
      <c r="Y2" s="186"/>
      <c r="Z2" s="187"/>
      <c r="AA2" s="197" t="s">
        <v>139</v>
      </c>
      <c r="AB2" s="198"/>
      <c r="AC2" s="185" t="s">
        <v>121</v>
      </c>
      <c r="AD2" s="186"/>
      <c r="AE2" s="186"/>
      <c r="AF2" s="199"/>
    </row>
    <row r="3" spans="1:32" ht="37.5" customHeight="1" thickBot="1">
      <c r="A3" s="66" t="s">
        <v>64</v>
      </c>
      <c r="B3" s="10"/>
      <c r="C3" s="10"/>
      <c r="D3" s="10"/>
      <c r="E3" s="10"/>
      <c r="F3" s="10"/>
      <c r="G3" s="65" t="s">
        <v>65</v>
      </c>
      <c r="H3" s="11">
        <f>IF(COUNTA(H4:H93)&gt;0,1,"")</f>
        <v>1</v>
      </c>
      <c r="I3" s="12">
        <f t="shared" ref="I3:AF3" si="0">IF(COUNTA(I4:I93)&gt;0,IF(H3&gt;0,H3+1,""),"")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/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4" t="s">
        <v>66</v>
      </c>
      <c r="B4" s="255" t="s">
        <v>124</v>
      </c>
      <c r="C4" s="256"/>
      <c r="D4" s="256"/>
      <c r="E4" s="256"/>
      <c r="F4" s="256"/>
      <c r="G4" s="257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5"/>
      <c r="B5" s="206" t="s">
        <v>54</v>
      </c>
      <c r="C5" s="258"/>
      <c r="D5" s="258"/>
      <c r="E5" s="258"/>
      <c r="F5" s="258"/>
      <c r="G5" s="259"/>
      <c r="H5" s="18" t="s">
        <v>59</v>
      </c>
      <c r="I5" s="90" t="s">
        <v>59</v>
      </c>
      <c r="J5" s="90" t="s">
        <v>59</v>
      </c>
      <c r="K5" s="90" t="s">
        <v>59</v>
      </c>
      <c r="L5" s="90" t="s">
        <v>59</v>
      </c>
      <c r="M5" s="90" t="s">
        <v>59</v>
      </c>
      <c r="N5" s="90" t="s">
        <v>59</v>
      </c>
      <c r="O5" s="96" t="s">
        <v>59</v>
      </c>
      <c r="P5" s="96" t="s">
        <v>59</v>
      </c>
      <c r="Q5" s="96" t="s">
        <v>59</v>
      </c>
      <c r="R5" s="96" t="s">
        <v>59</v>
      </c>
      <c r="S5" s="96" t="s">
        <v>59</v>
      </c>
      <c r="T5" s="96" t="s">
        <v>59</v>
      </c>
      <c r="U5" s="96" t="s">
        <v>59</v>
      </c>
      <c r="V5" s="96" t="s">
        <v>59</v>
      </c>
      <c r="W5" s="96" t="s">
        <v>59</v>
      </c>
      <c r="X5" s="96" t="s">
        <v>59</v>
      </c>
      <c r="Y5" s="96" t="s">
        <v>59</v>
      </c>
      <c r="Z5" s="96" t="s">
        <v>59</v>
      </c>
      <c r="AA5" s="96" t="s">
        <v>59</v>
      </c>
      <c r="AB5" s="96" t="s">
        <v>59</v>
      </c>
      <c r="AC5" s="96" t="s">
        <v>59</v>
      </c>
      <c r="AD5" s="90"/>
      <c r="AE5" s="90"/>
      <c r="AF5" s="90"/>
    </row>
    <row r="6" spans="1:32" s="17" customFormat="1" ht="13.5" customHeight="1">
      <c r="A6" s="175"/>
      <c r="B6" s="224"/>
      <c r="C6" s="206" t="s">
        <v>73</v>
      </c>
      <c r="D6" s="206"/>
      <c r="E6" s="206"/>
      <c r="F6" s="206"/>
      <c r="G6" s="176"/>
      <c r="H6" s="18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75"/>
      <c r="B7" s="180"/>
      <c r="C7" s="180"/>
      <c r="D7" s="224"/>
      <c r="E7" s="206" t="s">
        <v>70</v>
      </c>
      <c r="F7" s="206"/>
      <c r="G7" s="176"/>
      <c r="H7" s="18" t="s">
        <v>59</v>
      </c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75"/>
      <c r="B8" s="180"/>
      <c r="C8" s="180"/>
      <c r="D8" s="180"/>
      <c r="E8" s="206" t="s">
        <v>169</v>
      </c>
      <c r="F8" s="206"/>
      <c r="G8" s="176"/>
      <c r="H8" s="18"/>
      <c r="I8" s="90" t="s">
        <v>59</v>
      </c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20"/>
    </row>
    <row r="9" spans="1:32" s="17" customFormat="1" ht="13.5" customHeight="1">
      <c r="A9" s="175"/>
      <c r="B9" s="180"/>
      <c r="C9" s="225"/>
      <c r="D9" s="225"/>
      <c r="E9" s="176" t="s">
        <v>192</v>
      </c>
      <c r="F9" s="179"/>
      <c r="G9" s="217"/>
      <c r="H9" s="18"/>
      <c r="I9" s="90"/>
      <c r="J9" s="90" t="s">
        <v>59</v>
      </c>
      <c r="K9" s="90" t="s">
        <v>59</v>
      </c>
      <c r="L9" s="90" t="s">
        <v>59</v>
      </c>
      <c r="M9" s="90" t="s">
        <v>59</v>
      </c>
      <c r="N9" s="90" t="s">
        <v>59</v>
      </c>
      <c r="O9" s="90" t="s">
        <v>59</v>
      </c>
      <c r="P9" s="90" t="s">
        <v>59</v>
      </c>
      <c r="Q9" s="90" t="s">
        <v>59</v>
      </c>
      <c r="R9" s="90" t="s">
        <v>59</v>
      </c>
      <c r="S9" s="90" t="s">
        <v>59</v>
      </c>
      <c r="T9" s="90" t="s">
        <v>59</v>
      </c>
      <c r="U9" s="90" t="s">
        <v>59</v>
      </c>
      <c r="V9" s="90" t="s">
        <v>59</v>
      </c>
      <c r="W9" s="90" t="s">
        <v>59</v>
      </c>
      <c r="X9" s="90" t="s">
        <v>59</v>
      </c>
      <c r="Y9" s="90" t="s">
        <v>59</v>
      </c>
      <c r="Z9" s="90" t="s">
        <v>59</v>
      </c>
      <c r="AA9" s="90" t="s">
        <v>59</v>
      </c>
      <c r="AB9" s="90" t="s">
        <v>59</v>
      </c>
      <c r="AC9" s="90"/>
      <c r="AD9" s="90"/>
      <c r="AE9" s="90"/>
      <c r="AF9" s="90"/>
    </row>
    <row r="10" spans="1:32" s="17" customFormat="1" ht="13.5" customHeight="1">
      <c r="A10" s="175"/>
      <c r="B10" s="180"/>
      <c r="C10" s="176" t="s">
        <v>74</v>
      </c>
      <c r="D10" s="179"/>
      <c r="E10" s="179"/>
      <c r="F10" s="179"/>
      <c r="G10" s="217"/>
      <c r="H10" s="18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20"/>
    </row>
    <row r="11" spans="1:32" s="17" customFormat="1" ht="13.5" customHeight="1">
      <c r="A11" s="175"/>
      <c r="B11" s="180"/>
      <c r="C11" s="180"/>
      <c r="D11" s="224"/>
      <c r="E11" s="206" t="s">
        <v>70</v>
      </c>
      <c r="F11" s="206"/>
      <c r="G11" s="176"/>
      <c r="H11" s="18" t="s">
        <v>59</v>
      </c>
      <c r="I11" s="90" t="s">
        <v>59</v>
      </c>
      <c r="J11" s="90" t="s">
        <v>59</v>
      </c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20"/>
    </row>
    <row r="12" spans="1:32" s="17" customFormat="1" ht="13.5" customHeight="1">
      <c r="A12" s="175"/>
      <c r="B12" s="180"/>
      <c r="C12" s="180"/>
      <c r="D12" s="180"/>
      <c r="E12" s="206" t="s">
        <v>170</v>
      </c>
      <c r="F12" s="206"/>
      <c r="G12" s="176"/>
      <c r="H12" s="18"/>
      <c r="I12" s="90"/>
      <c r="J12" s="90"/>
      <c r="K12" s="90" t="s">
        <v>59</v>
      </c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20"/>
    </row>
    <row r="13" spans="1:32" s="17" customFormat="1" ht="13.5" customHeight="1">
      <c r="A13" s="175"/>
      <c r="B13" s="180"/>
      <c r="C13" s="180"/>
      <c r="D13" s="180"/>
      <c r="E13" s="237">
        <v>1234</v>
      </c>
      <c r="F13" s="238"/>
      <c r="G13" s="239"/>
      <c r="H13" s="18"/>
      <c r="I13" s="90"/>
      <c r="J13" s="90"/>
      <c r="K13" s="90"/>
      <c r="L13" s="90" t="s">
        <v>59</v>
      </c>
      <c r="M13" s="90" t="s">
        <v>58</v>
      </c>
      <c r="N13" s="90" t="s">
        <v>58</v>
      </c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20"/>
    </row>
    <row r="14" spans="1:32" s="17" customFormat="1" ht="13.5" customHeight="1">
      <c r="A14" s="175"/>
      <c r="B14" s="180"/>
      <c r="C14" s="225"/>
      <c r="D14" s="225"/>
      <c r="E14" s="240" t="s">
        <v>193</v>
      </c>
      <c r="F14" s="206"/>
      <c r="G14" s="176"/>
      <c r="H14" s="18"/>
      <c r="I14" s="90"/>
      <c r="J14" s="90"/>
      <c r="K14" s="90"/>
      <c r="L14" s="90"/>
      <c r="M14" s="90" t="s">
        <v>50</v>
      </c>
      <c r="N14" s="90" t="s">
        <v>50</v>
      </c>
      <c r="O14" s="90" t="s">
        <v>50</v>
      </c>
      <c r="P14" s="90" t="s">
        <v>50</v>
      </c>
      <c r="Q14" s="90" t="s">
        <v>50</v>
      </c>
      <c r="R14" s="90" t="s">
        <v>50</v>
      </c>
      <c r="S14" s="90" t="s">
        <v>50</v>
      </c>
      <c r="T14" s="90" t="s">
        <v>50</v>
      </c>
      <c r="U14" s="90" t="s">
        <v>50</v>
      </c>
      <c r="V14" s="90" t="s">
        <v>50</v>
      </c>
      <c r="W14" s="90" t="s">
        <v>50</v>
      </c>
      <c r="X14" s="90" t="s">
        <v>50</v>
      </c>
      <c r="Y14" s="90" t="s">
        <v>50</v>
      </c>
      <c r="Z14" s="90" t="s">
        <v>50</v>
      </c>
      <c r="AA14" s="90" t="s">
        <v>50</v>
      </c>
      <c r="AB14" s="90" t="s">
        <v>59</v>
      </c>
      <c r="AC14" s="90"/>
      <c r="AD14" s="90"/>
      <c r="AE14" s="90"/>
      <c r="AF14" s="90"/>
    </row>
    <row r="15" spans="1:32" s="17" customFormat="1" ht="13.5" customHeight="1">
      <c r="A15" s="175"/>
      <c r="B15" s="180"/>
      <c r="C15" s="206" t="s">
        <v>67</v>
      </c>
      <c r="D15" s="206"/>
      <c r="E15" s="206"/>
      <c r="F15" s="206"/>
      <c r="G15" s="176"/>
      <c r="H15" s="18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20"/>
    </row>
    <row r="16" spans="1:32" s="17" customFormat="1" ht="13.5" customHeight="1">
      <c r="A16" s="175"/>
      <c r="B16" s="180"/>
      <c r="C16" s="208"/>
      <c r="D16" s="176" t="s">
        <v>172</v>
      </c>
      <c r="E16" s="179"/>
      <c r="F16" s="179"/>
      <c r="G16" s="217"/>
      <c r="H16" s="18" t="s">
        <v>59</v>
      </c>
      <c r="I16" s="90" t="s">
        <v>59</v>
      </c>
      <c r="J16" s="90" t="s">
        <v>59</v>
      </c>
      <c r="K16" s="90" t="s">
        <v>59</v>
      </c>
      <c r="L16" s="90" t="s">
        <v>59</v>
      </c>
      <c r="M16" s="90" t="s">
        <v>59</v>
      </c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AA16" s="90" t="s">
        <v>59</v>
      </c>
      <c r="AB16" s="90" t="s">
        <v>59</v>
      </c>
      <c r="AC16" s="90"/>
      <c r="AD16" s="90"/>
      <c r="AE16" s="90"/>
      <c r="AF16" s="20"/>
    </row>
    <row r="17" spans="1:32" s="17" customFormat="1" ht="13.5" customHeight="1">
      <c r="A17" s="175"/>
      <c r="B17" s="180"/>
      <c r="C17" s="208"/>
      <c r="D17" s="206" t="s">
        <v>68</v>
      </c>
      <c r="E17" s="206"/>
      <c r="F17" s="206"/>
      <c r="G17" s="176"/>
      <c r="H17" s="18"/>
      <c r="I17" s="90"/>
      <c r="J17" s="90"/>
      <c r="K17" s="90"/>
      <c r="L17" s="90"/>
      <c r="M17" s="90"/>
      <c r="N17" s="90" t="s">
        <v>59</v>
      </c>
      <c r="O17" s="90" t="s">
        <v>59</v>
      </c>
      <c r="P17" s="90" t="s">
        <v>59</v>
      </c>
      <c r="Q17" s="90" t="s">
        <v>59</v>
      </c>
      <c r="R17" s="90" t="s">
        <v>59</v>
      </c>
      <c r="S17" s="90" t="s">
        <v>59</v>
      </c>
      <c r="T17" s="90" t="s">
        <v>59</v>
      </c>
      <c r="U17" s="90" t="s">
        <v>59</v>
      </c>
      <c r="V17" s="90" t="s">
        <v>59</v>
      </c>
      <c r="W17" s="90" t="s">
        <v>59</v>
      </c>
      <c r="X17" s="90" t="s">
        <v>59</v>
      </c>
      <c r="Y17" s="90" t="s">
        <v>59</v>
      </c>
      <c r="Z17" s="90" t="s">
        <v>59</v>
      </c>
      <c r="AA17" s="90"/>
      <c r="AB17" s="90"/>
      <c r="AC17" s="90"/>
      <c r="AD17" s="90"/>
      <c r="AE17" s="90"/>
      <c r="AF17" s="90"/>
    </row>
    <row r="18" spans="1:32" s="17" customFormat="1" ht="13.5" customHeight="1">
      <c r="A18" s="175"/>
      <c r="B18" s="180"/>
      <c r="C18" s="206" t="s">
        <v>69</v>
      </c>
      <c r="D18" s="206"/>
      <c r="E18" s="206"/>
      <c r="F18" s="206"/>
      <c r="G18" s="176"/>
      <c r="H18" s="18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20"/>
    </row>
    <row r="19" spans="1:32" s="17" customFormat="1" ht="13.5" customHeight="1">
      <c r="A19" s="175"/>
      <c r="B19" s="180"/>
      <c r="C19" s="208"/>
      <c r="D19" s="241"/>
      <c r="E19" s="243" t="s">
        <v>70</v>
      </c>
      <c r="F19" s="243"/>
      <c r="G19" s="237"/>
      <c r="H19" s="18" t="s">
        <v>59</v>
      </c>
      <c r="I19" s="90" t="s">
        <v>59</v>
      </c>
      <c r="J19" s="90" t="s">
        <v>59</v>
      </c>
      <c r="K19" s="90" t="s">
        <v>59</v>
      </c>
      <c r="L19" s="90" t="s">
        <v>59</v>
      </c>
      <c r="M19" s="90" t="s">
        <v>59</v>
      </c>
      <c r="N19" s="90" t="s">
        <v>59</v>
      </c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20"/>
    </row>
    <row r="20" spans="1:32" s="17" customFormat="1" ht="13.5" customHeight="1">
      <c r="A20" s="175"/>
      <c r="B20" s="180"/>
      <c r="C20" s="208"/>
      <c r="D20" s="242"/>
      <c r="E20" s="206" t="s">
        <v>168</v>
      </c>
      <c r="F20" s="206"/>
      <c r="G20" s="176"/>
      <c r="H20" s="18"/>
      <c r="I20" s="90"/>
      <c r="J20" s="90"/>
      <c r="K20" s="90"/>
      <c r="L20" s="90"/>
      <c r="M20" s="90"/>
      <c r="N20" s="90"/>
      <c r="O20" s="90" t="s">
        <v>59</v>
      </c>
      <c r="P20" s="90" t="s">
        <v>59</v>
      </c>
      <c r="Q20" s="90" t="s">
        <v>59</v>
      </c>
      <c r="R20" s="90" t="s">
        <v>59</v>
      </c>
      <c r="S20" s="90" t="s">
        <v>59</v>
      </c>
      <c r="T20" s="90" t="s">
        <v>59</v>
      </c>
      <c r="U20" s="90" t="s">
        <v>59</v>
      </c>
      <c r="V20" s="90" t="s">
        <v>59</v>
      </c>
      <c r="W20" s="90" t="s">
        <v>59</v>
      </c>
      <c r="X20" s="90" t="s">
        <v>59</v>
      </c>
      <c r="Y20" s="90" t="s">
        <v>59</v>
      </c>
      <c r="Z20" s="90" t="s">
        <v>59</v>
      </c>
      <c r="AA20" s="90" t="s">
        <v>59</v>
      </c>
      <c r="AB20" s="90" t="s">
        <v>59</v>
      </c>
      <c r="AC20" s="90"/>
      <c r="AD20" s="90"/>
      <c r="AE20" s="90"/>
      <c r="AF20" s="90"/>
    </row>
    <row r="21" spans="1:32" s="17" customFormat="1" ht="13.5" customHeight="1">
      <c r="A21" s="175"/>
      <c r="B21" s="180"/>
      <c r="C21" s="206" t="s">
        <v>71</v>
      </c>
      <c r="D21" s="206"/>
      <c r="E21" s="206"/>
      <c r="F21" s="206"/>
      <c r="G21" s="176"/>
      <c r="H21" s="18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20"/>
    </row>
    <row r="22" spans="1:32" s="17" customFormat="1" ht="13.5" customHeight="1">
      <c r="A22" s="175"/>
      <c r="B22" s="180"/>
      <c r="C22" s="208"/>
      <c r="D22" s="202"/>
      <c r="E22" s="243" t="s">
        <v>70</v>
      </c>
      <c r="F22" s="243"/>
      <c r="G22" s="237"/>
      <c r="H22" s="18" t="s">
        <v>59</v>
      </c>
      <c r="I22" s="90" t="s">
        <v>59</v>
      </c>
      <c r="J22" s="90" t="s">
        <v>59</v>
      </c>
      <c r="K22" s="90" t="s">
        <v>59</v>
      </c>
      <c r="L22" s="90" t="s">
        <v>59</v>
      </c>
      <c r="M22" s="90" t="s">
        <v>59</v>
      </c>
      <c r="N22" s="90" t="s">
        <v>59</v>
      </c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 t="s">
        <v>59</v>
      </c>
      <c r="AB22" s="90"/>
      <c r="AC22" s="90"/>
      <c r="AD22" s="90"/>
      <c r="AE22" s="90"/>
      <c r="AF22" s="20"/>
    </row>
    <row r="23" spans="1:32" s="17" customFormat="1" ht="13.5" customHeight="1">
      <c r="A23" s="175"/>
      <c r="B23" s="180"/>
      <c r="C23" s="208"/>
      <c r="D23" s="202"/>
      <c r="E23" s="206" t="s">
        <v>173</v>
      </c>
      <c r="F23" s="206"/>
      <c r="G23" s="176"/>
      <c r="H23" s="18"/>
      <c r="I23" s="90"/>
      <c r="J23" s="90"/>
      <c r="K23" s="90"/>
      <c r="L23" s="90"/>
      <c r="M23" s="90"/>
      <c r="N23" s="90"/>
      <c r="O23" s="90" t="s">
        <v>59</v>
      </c>
      <c r="P23" s="90" t="s">
        <v>59</v>
      </c>
      <c r="Q23" s="90" t="s">
        <v>59</v>
      </c>
      <c r="R23" s="90" t="s">
        <v>59</v>
      </c>
      <c r="S23" s="90" t="s">
        <v>59</v>
      </c>
      <c r="T23" s="90" t="s">
        <v>59</v>
      </c>
      <c r="U23" s="90" t="s">
        <v>59</v>
      </c>
      <c r="V23" s="90" t="s">
        <v>59</v>
      </c>
      <c r="W23" s="90" t="s">
        <v>59</v>
      </c>
      <c r="X23" s="90" t="s">
        <v>59</v>
      </c>
      <c r="Y23" s="90" t="s">
        <v>59</v>
      </c>
      <c r="Z23" s="90" t="s">
        <v>59</v>
      </c>
      <c r="AA23" s="90"/>
      <c r="AB23" s="90" t="s">
        <v>59</v>
      </c>
      <c r="AC23" s="90"/>
      <c r="AD23" s="90"/>
      <c r="AE23" s="90"/>
      <c r="AF23" s="90"/>
    </row>
    <row r="24" spans="1:32" s="17" customFormat="1" ht="13.5" customHeight="1">
      <c r="A24" s="175"/>
      <c r="B24" s="180"/>
      <c r="C24" s="206" t="s">
        <v>72</v>
      </c>
      <c r="D24" s="206"/>
      <c r="E24" s="206"/>
      <c r="F24" s="206"/>
      <c r="G24" s="176"/>
      <c r="H24" s="18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20"/>
    </row>
    <row r="25" spans="1:32" s="17" customFormat="1" ht="13.5" customHeight="1">
      <c r="A25" s="175"/>
      <c r="B25" s="180"/>
      <c r="C25" s="208"/>
      <c r="D25" s="224"/>
      <c r="E25" s="206" t="s">
        <v>70</v>
      </c>
      <c r="F25" s="206"/>
      <c r="G25" s="176"/>
      <c r="H25" s="18" t="s">
        <v>59</v>
      </c>
      <c r="I25" s="90" t="s">
        <v>59</v>
      </c>
      <c r="J25" s="90" t="s">
        <v>59</v>
      </c>
      <c r="K25" s="90" t="s">
        <v>59</v>
      </c>
      <c r="L25" s="90" t="s">
        <v>59</v>
      </c>
      <c r="M25" s="90" t="s">
        <v>59</v>
      </c>
      <c r="N25" s="90" t="s">
        <v>59</v>
      </c>
      <c r="O25" s="90" t="s">
        <v>59</v>
      </c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20"/>
    </row>
    <row r="26" spans="1:32" s="17" customFormat="1" ht="13.5" customHeight="1">
      <c r="A26" s="175"/>
      <c r="B26" s="180"/>
      <c r="C26" s="208"/>
      <c r="D26" s="225"/>
      <c r="E26" s="243" t="s">
        <v>174</v>
      </c>
      <c r="F26" s="243"/>
      <c r="G26" s="237"/>
      <c r="H26" s="18"/>
      <c r="I26" s="90"/>
      <c r="J26" s="90"/>
      <c r="K26" s="90"/>
      <c r="L26" s="90"/>
      <c r="M26" s="90"/>
      <c r="N26" s="90"/>
      <c r="O26" s="90"/>
      <c r="P26" s="90" t="s">
        <v>59</v>
      </c>
      <c r="Q26" s="90" t="s">
        <v>59</v>
      </c>
      <c r="R26" s="90" t="s">
        <v>59</v>
      </c>
      <c r="S26" s="90" t="s">
        <v>59</v>
      </c>
      <c r="T26" s="90" t="s">
        <v>59</v>
      </c>
      <c r="U26" s="90" t="s">
        <v>59</v>
      </c>
      <c r="V26" s="90" t="s">
        <v>59</v>
      </c>
      <c r="W26" s="90" t="s">
        <v>59</v>
      </c>
      <c r="X26" s="90" t="s">
        <v>59</v>
      </c>
      <c r="Y26" s="90" t="s">
        <v>59</v>
      </c>
      <c r="Z26" s="90" t="s">
        <v>59</v>
      </c>
      <c r="AA26" s="90" t="s">
        <v>59</v>
      </c>
      <c r="AB26" s="90" t="s">
        <v>50</v>
      </c>
      <c r="AC26" s="90"/>
      <c r="AD26" s="90"/>
      <c r="AE26" s="90"/>
      <c r="AF26" s="90"/>
    </row>
    <row r="27" spans="1:32" s="17" customFormat="1" ht="13.5" customHeight="1">
      <c r="A27" s="175"/>
      <c r="B27" s="180"/>
      <c r="C27" s="206" t="s">
        <v>75</v>
      </c>
      <c r="D27" s="206"/>
      <c r="E27" s="206"/>
      <c r="F27" s="206"/>
      <c r="G27" s="176"/>
      <c r="H27" s="18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20"/>
    </row>
    <row r="28" spans="1:32" s="17" customFormat="1" ht="13.5" customHeight="1">
      <c r="A28" s="175"/>
      <c r="B28" s="180"/>
      <c r="C28" s="90"/>
      <c r="D28" s="206" t="s">
        <v>55</v>
      </c>
      <c r="E28" s="206"/>
      <c r="F28" s="206"/>
      <c r="G28" s="176"/>
      <c r="H28" s="18"/>
      <c r="I28" s="90"/>
      <c r="J28" s="90"/>
      <c r="K28" s="90"/>
      <c r="L28" s="90"/>
      <c r="M28" s="90"/>
      <c r="N28" s="90"/>
      <c r="O28" s="90"/>
      <c r="P28" s="90"/>
      <c r="Q28" s="90" t="s">
        <v>59</v>
      </c>
      <c r="R28" s="90" t="s">
        <v>59</v>
      </c>
      <c r="S28" s="90" t="s">
        <v>59</v>
      </c>
      <c r="T28" s="90" t="s">
        <v>59</v>
      </c>
      <c r="U28" s="90" t="s">
        <v>59</v>
      </c>
      <c r="V28" s="90" t="s">
        <v>59</v>
      </c>
      <c r="W28" s="90" t="s">
        <v>59</v>
      </c>
      <c r="X28" s="90" t="s">
        <v>59</v>
      </c>
      <c r="Y28" s="90" t="s">
        <v>59</v>
      </c>
      <c r="Z28" s="90" t="s">
        <v>59</v>
      </c>
      <c r="AA28" s="90" t="s">
        <v>59</v>
      </c>
      <c r="AB28" s="90" t="s">
        <v>50</v>
      </c>
      <c r="AC28" s="90"/>
      <c r="AD28" s="90"/>
      <c r="AE28" s="90"/>
      <c r="AF28" s="90"/>
    </row>
    <row r="29" spans="1:32" s="17" customFormat="1" ht="13.5" customHeight="1">
      <c r="A29" s="175"/>
      <c r="B29" s="180"/>
      <c r="C29" s="206" t="s">
        <v>77</v>
      </c>
      <c r="D29" s="206"/>
      <c r="E29" s="206"/>
      <c r="F29" s="206"/>
      <c r="G29" s="176"/>
      <c r="H29" s="18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20"/>
    </row>
    <row r="30" spans="1:32" s="17" customFormat="1" ht="13.5" customHeight="1">
      <c r="A30" s="175"/>
      <c r="B30" s="180"/>
      <c r="C30" s="208"/>
      <c r="D30" s="208"/>
      <c r="E30" s="206" t="s">
        <v>70</v>
      </c>
      <c r="F30" s="206"/>
      <c r="G30" s="176"/>
      <c r="H30" s="18" t="s">
        <v>59</v>
      </c>
      <c r="I30" s="90" t="s">
        <v>59</v>
      </c>
      <c r="J30" s="90" t="s">
        <v>59</v>
      </c>
      <c r="K30" s="90" t="s">
        <v>59</v>
      </c>
      <c r="L30" s="90" t="s">
        <v>59</v>
      </c>
      <c r="M30" s="90" t="s">
        <v>59</v>
      </c>
      <c r="N30" s="90" t="s">
        <v>59</v>
      </c>
      <c r="O30" s="90" t="s">
        <v>59</v>
      </c>
      <c r="P30" s="90" t="s">
        <v>59</v>
      </c>
      <c r="Q30" s="90" t="s">
        <v>59</v>
      </c>
      <c r="R30" s="90"/>
      <c r="S30" s="90"/>
      <c r="T30" s="90"/>
      <c r="U30" s="90"/>
      <c r="V30" s="90"/>
      <c r="W30" s="90"/>
      <c r="X30" s="90"/>
      <c r="Y30" s="90"/>
      <c r="Z30" s="90"/>
      <c r="AA30" s="90" t="s">
        <v>50</v>
      </c>
      <c r="AB30" s="90"/>
      <c r="AC30" s="90"/>
      <c r="AD30" s="90"/>
      <c r="AE30" s="90"/>
      <c r="AF30" s="20"/>
    </row>
    <row r="31" spans="1:32" s="17" customFormat="1" ht="13.5" customHeight="1">
      <c r="A31" s="175"/>
      <c r="B31" s="180"/>
      <c r="C31" s="208"/>
      <c r="D31" s="208"/>
      <c r="E31" s="263" t="s">
        <v>175</v>
      </c>
      <c r="F31" s="179"/>
      <c r="G31" s="217"/>
      <c r="H31" s="18"/>
      <c r="I31" s="90"/>
      <c r="J31" s="90"/>
      <c r="K31" s="90"/>
      <c r="L31" s="90"/>
      <c r="M31" s="90"/>
      <c r="N31" s="90"/>
      <c r="O31" s="90"/>
      <c r="P31" s="90"/>
      <c r="Q31" s="90"/>
      <c r="R31" s="90" t="s">
        <v>50</v>
      </c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86"/>
    </row>
    <row r="32" spans="1:32" s="17" customFormat="1" ht="13.5" customHeight="1">
      <c r="A32" s="175"/>
      <c r="B32" s="180"/>
      <c r="C32" s="208"/>
      <c r="D32" s="208"/>
      <c r="E32" s="240" t="s">
        <v>171</v>
      </c>
      <c r="F32" s="206"/>
      <c r="G32" s="176"/>
      <c r="H32" s="18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 t="s">
        <v>50</v>
      </c>
      <c r="T32" s="90" t="s">
        <v>50</v>
      </c>
      <c r="U32" s="90" t="s">
        <v>50</v>
      </c>
      <c r="V32" s="90" t="s">
        <v>50</v>
      </c>
      <c r="W32" s="90" t="s">
        <v>50</v>
      </c>
      <c r="X32" s="90" t="s">
        <v>50</v>
      </c>
      <c r="Y32" s="90" t="s">
        <v>50</v>
      </c>
      <c r="Z32" s="90" t="s">
        <v>50</v>
      </c>
      <c r="AA32" s="90"/>
      <c r="AB32" s="90" t="s">
        <v>50</v>
      </c>
      <c r="AC32" s="90"/>
      <c r="AD32" s="90"/>
      <c r="AE32" s="90"/>
      <c r="AF32" s="90"/>
    </row>
    <row r="33" spans="1:32" s="17" customFormat="1" ht="13.5" customHeight="1">
      <c r="A33" s="175"/>
      <c r="B33" s="180"/>
      <c r="C33" s="206" t="s">
        <v>78</v>
      </c>
      <c r="D33" s="206"/>
      <c r="E33" s="206"/>
      <c r="F33" s="206"/>
      <c r="G33" s="176"/>
      <c r="H33" s="18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20"/>
    </row>
    <row r="34" spans="1:32" s="17" customFormat="1" ht="13.5" customHeight="1">
      <c r="A34" s="175"/>
      <c r="B34" s="180"/>
      <c r="C34" s="208"/>
      <c r="D34" s="206" t="s">
        <v>132</v>
      </c>
      <c r="E34" s="206"/>
      <c r="F34" s="206"/>
      <c r="G34" s="176"/>
      <c r="H34" s="18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20"/>
    </row>
    <row r="35" spans="1:32" s="17" customFormat="1" ht="13.5" customHeight="1">
      <c r="A35" s="175"/>
      <c r="B35" s="180"/>
      <c r="C35" s="208"/>
      <c r="D35" s="224"/>
      <c r="E35" s="176" t="s">
        <v>127</v>
      </c>
      <c r="F35" s="179"/>
      <c r="G35" s="217"/>
      <c r="H35" s="86" t="s">
        <v>59</v>
      </c>
      <c r="I35" s="90" t="s">
        <v>59</v>
      </c>
      <c r="J35" s="90" t="s">
        <v>59</v>
      </c>
      <c r="K35" s="90" t="s">
        <v>59</v>
      </c>
      <c r="L35" s="90" t="s">
        <v>59</v>
      </c>
      <c r="M35" s="90" t="s">
        <v>59</v>
      </c>
      <c r="N35" s="90" t="s">
        <v>59</v>
      </c>
      <c r="O35" s="90" t="s">
        <v>50</v>
      </c>
      <c r="P35" s="90" t="s">
        <v>50</v>
      </c>
      <c r="Q35" s="90" t="s">
        <v>50</v>
      </c>
      <c r="R35" s="90" t="s">
        <v>50</v>
      </c>
      <c r="S35" s="90" t="s">
        <v>50</v>
      </c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20"/>
    </row>
    <row r="36" spans="1:32" s="17" customFormat="1" ht="13.5" customHeight="1">
      <c r="A36" s="175"/>
      <c r="B36" s="180"/>
      <c r="C36" s="208"/>
      <c r="D36" s="225"/>
      <c r="E36" s="260">
        <v>1996</v>
      </c>
      <c r="F36" s="261"/>
      <c r="G36" s="262"/>
      <c r="H36" s="18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 t="s">
        <v>50</v>
      </c>
      <c r="U36" s="90" t="s">
        <v>50</v>
      </c>
      <c r="V36" s="90" t="s">
        <v>50</v>
      </c>
      <c r="W36" s="90" t="s">
        <v>50</v>
      </c>
      <c r="X36" s="90" t="s">
        <v>50</v>
      </c>
      <c r="Y36" s="90" t="s">
        <v>50</v>
      </c>
      <c r="Z36" s="90" t="s">
        <v>50</v>
      </c>
      <c r="AA36" s="90" t="s">
        <v>50</v>
      </c>
      <c r="AB36" s="90" t="s">
        <v>50</v>
      </c>
      <c r="AC36" s="90"/>
      <c r="AD36" s="90"/>
      <c r="AE36" s="90"/>
      <c r="AF36" s="90"/>
    </row>
    <row r="37" spans="1:32" s="17" customFormat="1" ht="13.5" customHeight="1">
      <c r="A37" s="175"/>
      <c r="B37" s="180"/>
      <c r="C37" s="208"/>
      <c r="D37" s="206" t="s">
        <v>79</v>
      </c>
      <c r="E37" s="206"/>
      <c r="F37" s="206"/>
      <c r="G37" s="176"/>
      <c r="H37" s="18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20"/>
    </row>
    <row r="38" spans="1:32" s="17" customFormat="1" ht="13.5" customHeight="1">
      <c r="A38" s="175"/>
      <c r="B38" s="180"/>
      <c r="C38" s="208"/>
      <c r="D38" s="224"/>
      <c r="E38" s="176" t="s">
        <v>70</v>
      </c>
      <c r="F38" s="179"/>
      <c r="G38" s="217"/>
      <c r="H38" s="86" t="s">
        <v>59</v>
      </c>
      <c r="I38" s="90" t="s">
        <v>59</v>
      </c>
      <c r="J38" s="90" t="s">
        <v>59</v>
      </c>
      <c r="K38" s="90" t="s">
        <v>59</v>
      </c>
      <c r="L38" s="90" t="s">
        <v>59</v>
      </c>
      <c r="M38" s="90" t="s">
        <v>59</v>
      </c>
      <c r="N38" s="90" t="s">
        <v>59</v>
      </c>
      <c r="O38" s="90" t="s">
        <v>59</v>
      </c>
      <c r="P38" s="90" t="s">
        <v>59</v>
      </c>
      <c r="Q38" s="90" t="s">
        <v>59</v>
      </c>
      <c r="R38" s="90" t="s">
        <v>59</v>
      </c>
      <c r="S38" s="90" t="s">
        <v>59</v>
      </c>
      <c r="T38" s="90" t="s">
        <v>59</v>
      </c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20"/>
    </row>
    <row r="39" spans="1:32" s="17" customFormat="1" ht="13.5" customHeight="1">
      <c r="A39" s="175"/>
      <c r="B39" s="180"/>
      <c r="C39" s="208"/>
      <c r="D39" s="225"/>
      <c r="E39" s="226">
        <v>2</v>
      </c>
      <c r="F39" s="206"/>
      <c r="G39" s="176"/>
      <c r="H39" s="18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 t="s">
        <v>59</v>
      </c>
      <c r="V39" s="90" t="s">
        <v>59</v>
      </c>
      <c r="W39" s="90" t="s">
        <v>59</v>
      </c>
      <c r="X39" s="90" t="s">
        <v>59</v>
      </c>
      <c r="Y39" s="90" t="s">
        <v>59</v>
      </c>
      <c r="Z39" s="90" t="s">
        <v>59</v>
      </c>
      <c r="AA39" s="90" t="s">
        <v>59</v>
      </c>
      <c r="AB39" s="90" t="s">
        <v>59</v>
      </c>
      <c r="AC39" s="90"/>
      <c r="AD39" s="90"/>
      <c r="AE39" s="90"/>
      <c r="AF39" s="90"/>
    </row>
    <row r="40" spans="1:32" s="17" customFormat="1" ht="13.5" customHeight="1">
      <c r="A40" s="175"/>
      <c r="B40" s="180"/>
      <c r="C40" s="208"/>
      <c r="D40" s="206" t="s">
        <v>56</v>
      </c>
      <c r="E40" s="206"/>
      <c r="F40" s="206"/>
      <c r="G40" s="176"/>
      <c r="H40" s="18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20"/>
    </row>
    <row r="41" spans="1:32" s="17" customFormat="1" ht="13.5" customHeight="1">
      <c r="A41" s="175"/>
      <c r="B41" s="180"/>
      <c r="C41" s="208"/>
      <c r="D41" s="224"/>
      <c r="E41" s="176" t="s">
        <v>70</v>
      </c>
      <c r="F41" s="179"/>
      <c r="G41" s="217"/>
      <c r="H41" s="86" t="s">
        <v>59</v>
      </c>
      <c r="I41" s="90" t="s">
        <v>59</v>
      </c>
      <c r="J41" s="90" t="s">
        <v>59</v>
      </c>
      <c r="K41" s="90" t="s">
        <v>59</v>
      </c>
      <c r="L41" s="90" t="s">
        <v>59</v>
      </c>
      <c r="M41" s="90" t="s">
        <v>59</v>
      </c>
      <c r="N41" s="90" t="s">
        <v>59</v>
      </c>
      <c r="O41" s="90" t="s">
        <v>59</v>
      </c>
      <c r="P41" s="90" t="s">
        <v>59</v>
      </c>
      <c r="Q41" s="90" t="s">
        <v>59</v>
      </c>
      <c r="R41" s="90" t="s">
        <v>59</v>
      </c>
      <c r="S41" s="90" t="s">
        <v>59</v>
      </c>
      <c r="T41" s="90" t="s">
        <v>59</v>
      </c>
      <c r="U41" s="90" t="s">
        <v>59</v>
      </c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20"/>
    </row>
    <row r="42" spans="1:32" s="17" customFormat="1" ht="13.5" customHeight="1">
      <c r="A42" s="175"/>
      <c r="B42" s="180"/>
      <c r="C42" s="208"/>
      <c r="D42" s="180"/>
      <c r="E42" s="227">
        <v>10</v>
      </c>
      <c r="F42" s="179"/>
      <c r="G42" s="217"/>
      <c r="H42" s="18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 t="s">
        <v>59</v>
      </c>
      <c r="W42" s="90" t="s">
        <v>59</v>
      </c>
      <c r="X42" s="90" t="s">
        <v>59</v>
      </c>
      <c r="Y42" s="90" t="s">
        <v>59</v>
      </c>
      <c r="Z42" s="90" t="s">
        <v>59</v>
      </c>
      <c r="AA42" s="90" t="s">
        <v>59</v>
      </c>
      <c r="AB42" s="90" t="s">
        <v>59</v>
      </c>
      <c r="AC42" s="90"/>
      <c r="AD42" s="90"/>
      <c r="AE42" s="90"/>
      <c r="AF42" s="90"/>
    </row>
    <row r="43" spans="1:32" s="17" customFormat="1" ht="13.5" customHeight="1">
      <c r="A43" s="175"/>
      <c r="B43" s="180"/>
      <c r="C43" s="206" t="s">
        <v>80</v>
      </c>
      <c r="D43" s="206"/>
      <c r="E43" s="206"/>
      <c r="F43" s="206"/>
      <c r="G43" s="176"/>
      <c r="H43" s="18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20"/>
    </row>
    <row r="44" spans="1:32" s="17" customFormat="1" ht="13.5" customHeight="1">
      <c r="A44" s="175"/>
      <c r="B44" s="180"/>
      <c r="C44" s="208"/>
      <c r="D44" s="206" t="s">
        <v>70</v>
      </c>
      <c r="E44" s="206"/>
      <c r="F44" s="206"/>
      <c r="G44" s="207"/>
      <c r="H44" s="85" t="s">
        <v>59</v>
      </c>
      <c r="I44" s="90" t="s">
        <v>59</v>
      </c>
      <c r="J44" s="90" t="s">
        <v>59</v>
      </c>
      <c r="K44" s="90" t="s">
        <v>59</v>
      </c>
      <c r="L44" s="90" t="s">
        <v>59</v>
      </c>
      <c r="M44" s="90" t="s">
        <v>59</v>
      </c>
      <c r="N44" s="90" t="s">
        <v>59</v>
      </c>
      <c r="O44" s="90" t="s">
        <v>59</v>
      </c>
      <c r="P44" s="90" t="s">
        <v>59</v>
      </c>
      <c r="Q44" s="90" t="s">
        <v>59</v>
      </c>
      <c r="R44" s="90" t="s">
        <v>59</v>
      </c>
      <c r="S44" s="90" t="s">
        <v>59</v>
      </c>
      <c r="T44" s="90" t="s">
        <v>59</v>
      </c>
      <c r="U44" s="90" t="s">
        <v>59</v>
      </c>
      <c r="V44" s="90" t="s">
        <v>59</v>
      </c>
      <c r="W44" s="90"/>
      <c r="X44" s="90"/>
      <c r="Y44" s="90"/>
      <c r="Z44" s="90"/>
      <c r="AA44" s="90" t="s">
        <v>59</v>
      </c>
      <c r="AB44" s="90" t="s">
        <v>59</v>
      </c>
      <c r="AC44" s="90"/>
      <c r="AD44" s="90"/>
      <c r="AE44" s="90"/>
      <c r="AF44" s="20"/>
    </row>
    <row r="45" spans="1:32" s="17" customFormat="1" ht="13.5" customHeight="1">
      <c r="A45" s="175"/>
      <c r="B45" s="180"/>
      <c r="C45" s="208"/>
      <c r="D45" s="206" t="s">
        <v>176</v>
      </c>
      <c r="E45" s="206"/>
      <c r="F45" s="206"/>
      <c r="G45" s="176"/>
      <c r="H45" s="18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 t="s">
        <v>59</v>
      </c>
      <c r="X45" s="90" t="s">
        <v>59</v>
      </c>
      <c r="Y45" s="90" t="s">
        <v>59</v>
      </c>
      <c r="Z45" s="90" t="s">
        <v>59</v>
      </c>
      <c r="AA45" s="90"/>
      <c r="AB45" s="90"/>
      <c r="AC45" s="90"/>
      <c r="AD45" s="90"/>
      <c r="AE45" s="90"/>
      <c r="AF45" s="90"/>
    </row>
    <row r="46" spans="1:32" s="17" customFormat="1" ht="13.5" customHeight="1">
      <c r="A46" s="175"/>
      <c r="B46" s="180"/>
      <c r="C46" s="206" t="s">
        <v>81</v>
      </c>
      <c r="D46" s="206"/>
      <c r="E46" s="206"/>
      <c r="F46" s="206"/>
      <c r="G46" s="176"/>
      <c r="H46" s="18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20"/>
    </row>
    <row r="47" spans="1:32" s="17" customFormat="1" ht="13.5" customHeight="1">
      <c r="A47" s="175"/>
      <c r="B47" s="180"/>
      <c r="C47" s="208"/>
      <c r="D47" s="206" t="s">
        <v>82</v>
      </c>
      <c r="E47" s="206"/>
      <c r="F47" s="206"/>
      <c r="G47" s="176"/>
      <c r="H47" s="18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 t="s">
        <v>59</v>
      </c>
      <c r="Y47" s="90"/>
      <c r="Z47" s="90" t="s">
        <v>59</v>
      </c>
      <c r="AA47" s="90" t="s">
        <v>59</v>
      </c>
      <c r="AB47" s="90"/>
      <c r="AC47" s="90"/>
      <c r="AD47" s="90"/>
      <c r="AE47" s="90"/>
      <c r="AF47" s="90"/>
    </row>
    <row r="48" spans="1:32" s="17" customFormat="1" ht="13.5" customHeight="1">
      <c r="A48" s="175"/>
      <c r="B48" s="180"/>
      <c r="C48" s="208"/>
      <c r="D48" s="206" t="s">
        <v>83</v>
      </c>
      <c r="E48" s="206"/>
      <c r="F48" s="206"/>
      <c r="G48" s="176"/>
      <c r="H48" s="18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 t="s">
        <v>59</v>
      </c>
      <c r="AA48" s="90"/>
      <c r="AB48" s="90"/>
      <c r="AC48" s="90"/>
      <c r="AD48" s="90"/>
      <c r="AE48" s="90"/>
      <c r="AF48" s="90"/>
    </row>
    <row r="49" spans="1:32" s="17" customFormat="1" ht="13.5" customHeight="1">
      <c r="A49" s="175"/>
      <c r="B49" s="180"/>
      <c r="C49" s="208"/>
      <c r="D49" s="206" t="s">
        <v>84</v>
      </c>
      <c r="E49" s="206"/>
      <c r="F49" s="206"/>
      <c r="G49" s="176"/>
      <c r="H49" s="18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 t="s">
        <v>59</v>
      </c>
      <c r="AA49" s="90"/>
      <c r="AB49" s="90"/>
      <c r="AC49" s="90"/>
      <c r="AD49" s="90"/>
      <c r="AE49" s="90"/>
      <c r="AF49" s="90"/>
    </row>
    <row r="50" spans="1:32" s="17" customFormat="1" ht="13.5" customHeight="1">
      <c r="A50" s="175"/>
      <c r="B50" s="180"/>
      <c r="C50" s="208"/>
      <c r="D50" s="206" t="s">
        <v>85</v>
      </c>
      <c r="E50" s="206"/>
      <c r="F50" s="206"/>
      <c r="G50" s="176"/>
      <c r="H50" s="18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 t="s">
        <v>59</v>
      </c>
      <c r="AA50" s="90"/>
      <c r="AB50" s="90"/>
      <c r="AC50" s="90"/>
      <c r="AD50" s="90"/>
      <c r="AE50" s="90"/>
      <c r="AF50" s="90"/>
    </row>
    <row r="51" spans="1:32" s="17" customFormat="1" ht="13.5" customHeight="1">
      <c r="A51" s="175"/>
      <c r="B51" s="180"/>
      <c r="C51" s="206" t="s">
        <v>86</v>
      </c>
      <c r="D51" s="206"/>
      <c r="E51" s="206"/>
      <c r="F51" s="206"/>
      <c r="G51" s="176"/>
      <c r="H51" s="18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</row>
    <row r="52" spans="1:32" s="17" customFormat="1" ht="13.5" customHeight="1">
      <c r="A52" s="175"/>
      <c r="B52" s="180"/>
      <c r="C52" s="224"/>
      <c r="D52" s="206" t="s">
        <v>70</v>
      </c>
      <c r="E52" s="206"/>
      <c r="F52" s="206"/>
      <c r="G52" s="207"/>
      <c r="H52" s="85" t="s">
        <v>59</v>
      </c>
      <c r="I52" s="90" t="s">
        <v>59</v>
      </c>
      <c r="J52" s="90" t="s">
        <v>59</v>
      </c>
      <c r="K52" s="90" t="s">
        <v>59</v>
      </c>
      <c r="L52" s="90" t="s">
        <v>59</v>
      </c>
      <c r="M52" s="90" t="s">
        <v>59</v>
      </c>
      <c r="N52" s="90" t="s">
        <v>59</v>
      </c>
      <c r="O52" s="90" t="s">
        <v>59</v>
      </c>
      <c r="P52" s="90" t="s">
        <v>59</v>
      </c>
      <c r="Q52" s="90" t="s">
        <v>59</v>
      </c>
      <c r="R52" s="90" t="s">
        <v>59</v>
      </c>
      <c r="S52" s="90" t="s">
        <v>59</v>
      </c>
      <c r="T52" s="90" t="s">
        <v>59</v>
      </c>
      <c r="U52" s="90" t="s">
        <v>59</v>
      </c>
      <c r="V52" s="90" t="s">
        <v>59</v>
      </c>
      <c r="W52" s="90" t="s">
        <v>59</v>
      </c>
      <c r="X52" s="90" t="s">
        <v>59</v>
      </c>
      <c r="Y52" s="90"/>
      <c r="Z52" s="90"/>
      <c r="AA52" s="90" t="s">
        <v>59</v>
      </c>
      <c r="AB52" s="90"/>
      <c r="AD52" s="90"/>
      <c r="AE52" s="90"/>
      <c r="AF52" s="90"/>
    </row>
    <row r="53" spans="1:32" s="17" customFormat="1" ht="13.5" customHeight="1">
      <c r="A53" s="175"/>
      <c r="B53" s="180"/>
      <c r="C53" s="225"/>
      <c r="D53" s="206" t="s">
        <v>177</v>
      </c>
      <c r="E53" s="206"/>
      <c r="F53" s="206"/>
      <c r="G53" s="176"/>
      <c r="H53" s="18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 t="s">
        <v>59</v>
      </c>
      <c r="Z53" s="90" t="s">
        <v>59</v>
      </c>
      <c r="AA53" s="78"/>
      <c r="AB53" s="78" t="s">
        <v>59</v>
      </c>
      <c r="AC53" s="90"/>
      <c r="AD53" s="90"/>
      <c r="AE53" s="90"/>
      <c r="AF53" s="90"/>
    </row>
    <row r="54" spans="1:32" s="17" customFormat="1" ht="13.5" customHeight="1">
      <c r="A54" s="175"/>
      <c r="B54" s="180"/>
      <c r="C54" s="206" t="s">
        <v>87</v>
      </c>
      <c r="D54" s="206"/>
      <c r="E54" s="206"/>
      <c r="F54" s="206"/>
      <c r="G54" s="207"/>
      <c r="H54" s="85" t="s">
        <v>59</v>
      </c>
      <c r="I54" s="90" t="s">
        <v>59</v>
      </c>
      <c r="J54" s="90" t="s">
        <v>59</v>
      </c>
      <c r="K54" s="90" t="s">
        <v>59</v>
      </c>
      <c r="L54" s="90" t="s">
        <v>59</v>
      </c>
      <c r="M54" s="90" t="s">
        <v>59</v>
      </c>
      <c r="N54" s="90" t="s">
        <v>59</v>
      </c>
      <c r="O54" s="90" t="s">
        <v>59</v>
      </c>
      <c r="P54" s="90" t="s">
        <v>59</v>
      </c>
      <c r="Q54" s="90" t="s">
        <v>59</v>
      </c>
      <c r="R54" s="90" t="s">
        <v>59</v>
      </c>
      <c r="S54" s="90" t="s">
        <v>59</v>
      </c>
      <c r="T54" s="90" t="s">
        <v>59</v>
      </c>
      <c r="U54" s="90" t="s">
        <v>59</v>
      </c>
      <c r="V54" s="90" t="s">
        <v>59</v>
      </c>
      <c r="W54" s="90" t="s">
        <v>59</v>
      </c>
      <c r="X54" s="90" t="s">
        <v>59</v>
      </c>
      <c r="Y54" s="90" t="s">
        <v>59</v>
      </c>
      <c r="Z54" s="90" t="s">
        <v>59</v>
      </c>
      <c r="AA54" s="90" t="s">
        <v>59</v>
      </c>
      <c r="AB54" s="90" t="s">
        <v>59</v>
      </c>
      <c r="AC54" s="90" t="s">
        <v>59</v>
      </c>
      <c r="AD54" s="90"/>
      <c r="AE54" s="90"/>
      <c r="AF54" s="90"/>
    </row>
    <row r="55" spans="1:32" s="17" customFormat="1" ht="13.5" customHeight="1">
      <c r="A55" s="175"/>
      <c r="B55" s="180"/>
      <c r="C55" s="206" t="s">
        <v>178</v>
      </c>
      <c r="D55" s="206"/>
      <c r="E55" s="206"/>
      <c r="F55" s="206"/>
      <c r="G55" s="176"/>
      <c r="H55" s="18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20"/>
    </row>
    <row r="56" spans="1:32" s="17" customFormat="1" ht="13.5" customHeight="1" thickBot="1">
      <c r="A56" s="175"/>
      <c r="B56" s="236"/>
      <c r="C56" s="89"/>
      <c r="D56" s="264" t="s">
        <v>88</v>
      </c>
      <c r="E56" s="264"/>
      <c r="F56" s="264"/>
      <c r="G56" s="265"/>
      <c r="H56" s="87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 t="s">
        <v>59</v>
      </c>
      <c r="AD56" s="91"/>
      <c r="AE56" s="91"/>
      <c r="AF56" s="20"/>
    </row>
    <row r="57" spans="1:32" s="17" customFormat="1" ht="13.5" customHeight="1">
      <c r="A57" s="168" t="s">
        <v>89</v>
      </c>
      <c r="B57" s="247" t="s">
        <v>57</v>
      </c>
      <c r="C57" s="247"/>
      <c r="D57" s="247"/>
      <c r="E57" s="247"/>
      <c r="F57" s="247"/>
      <c r="G57" s="248"/>
      <c r="H57" s="25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7"/>
    </row>
    <row r="58" spans="1:32" s="17" customFormat="1" ht="13.5" customHeight="1">
      <c r="A58" s="169"/>
      <c r="B58" s="208"/>
      <c r="C58" s="228" t="s">
        <v>90</v>
      </c>
      <c r="D58" s="228"/>
      <c r="E58" s="228"/>
      <c r="F58" s="228"/>
      <c r="G58" s="229"/>
      <c r="H58" s="75"/>
      <c r="I58" s="23"/>
      <c r="J58" s="23"/>
      <c r="K58" s="23"/>
      <c r="L58" s="23"/>
      <c r="M58" s="23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7"/>
    </row>
    <row r="59" spans="1:32" s="17" customFormat="1" ht="13.5" customHeight="1">
      <c r="A59" s="169"/>
      <c r="B59" s="208"/>
      <c r="C59" s="230"/>
      <c r="D59" s="231" t="s">
        <v>179</v>
      </c>
      <c r="E59" s="231"/>
      <c r="F59" s="231"/>
      <c r="G59" s="232"/>
      <c r="H59" s="75"/>
      <c r="I59" s="23"/>
      <c r="J59" s="23"/>
      <c r="K59" s="23"/>
      <c r="L59" s="23"/>
      <c r="M59" s="23" t="s">
        <v>59</v>
      </c>
      <c r="N59" s="76" t="s">
        <v>59</v>
      </c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7"/>
    </row>
    <row r="60" spans="1:32" s="17" customFormat="1" ht="13.5" customHeight="1">
      <c r="A60" s="169"/>
      <c r="B60" s="208"/>
      <c r="C60" s="230"/>
      <c r="D60" s="231" t="s">
        <v>91</v>
      </c>
      <c r="E60" s="231"/>
      <c r="F60" s="231"/>
      <c r="G60" s="232"/>
      <c r="H60" s="75"/>
      <c r="I60" s="23"/>
      <c r="J60" s="23"/>
      <c r="K60" s="23"/>
      <c r="L60" s="23"/>
      <c r="M60" s="23"/>
      <c r="N60" s="76"/>
      <c r="O60" s="76" t="s">
        <v>50</v>
      </c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7"/>
    </row>
    <row r="61" spans="1:32" s="17" customFormat="1" ht="13.5" customHeight="1">
      <c r="A61" s="169"/>
      <c r="B61" s="208"/>
      <c r="C61" s="230"/>
      <c r="D61" s="231" t="s">
        <v>92</v>
      </c>
      <c r="E61" s="231"/>
      <c r="F61" s="231"/>
      <c r="G61" s="232"/>
      <c r="H61" s="75" t="s">
        <v>59</v>
      </c>
      <c r="I61" s="23"/>
      <c r="J61" s="23"/>
      <c r="K61" s="23"/>
      <c r="L61" s="23"/>
      <c r="M61" s="23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7"/>
    </row>
    <row r="62" spans="1:32" s="17" customFormat="1" ht="14.25" customHeight="1">
      <c r="A62" s="169"/>
      <c r="B62" s="208"/>
      <c r="C62" s="230"/>
      <c r="D62" s="233" t="s">
        <v>191</v>
      </c>
      <c r="E62" s="234"/>
      <c r="F62" s="234"/>
      <c r="G62" s="235"/>
      <c r="H62" s="75"/>
      <c r="I62" s="23" t="s">
        <v>59</v>
      </c>
      <c r="J62" s="23"/>
      <c r="K62" s="23"/>
      <c r="L62" s="23"/>
      <c r="M62" s="23"/>
      <c r="N62" s="90"/>
      <c r="O62" s="90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7"/>
    </row>
    <row r="63" spans="1:32" s="17" customFormat="1" ht="13.5" customHeight="1">
      <c r="A63" s="169"/>
      <c r="B63" s="208"/>
      <c r="C63" s="230"/>
      <c r="D63" s="233" t="s">
        <v>93</v>
      </c>
      <c r="E63" s="234"/>
      <c r="F63" s="234"/>
      <c r="G63" s="235"/>
      <c r="H63" s="75"/>
      <c r="I63" s="23"/>
      <c r="J63" s="76" t="s">
        <v>59</v>
      </c>
      <c r="K63" s="76"/>
      <c r="L63" s="76"/>
      <c r="M63" s="76"/>
      <c r="N63" s="76"/>
      <c r="O63" s="76"/>
      <c r="P63" s="90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7"/>
    </row>
    <row r="64" spans="1:32" s="17" customFormat="1" ht="18" customHeight="1">
      <c r="A64" s="169"/>
      <c r="B64" s="208"/>
      <c r="C64" s="230"/>
      <c r="D64" s="233" t="s">
        <v>190</v>
      </c>
      <c r="E64" s="234"/>
      <c r="F64" s="234"/>
      <c r="G64" s="235"/>
      <c r="H64" s="75"/>
      <c r="I64" s="23"/>
      <c r="J64" s="76"/>
      <c r="K64" s="76" t="s">
        <v>59</v>
      </c>
      <c r="L64" s="76" t="s">
        <v>59</v>
      </c>
      <c r="M64" s="76"/>
      <c r="N64" s="76"/>
      <c r="O64" s="76"/>
      <c r="P64" s="76"/>
      <c r="Q64" s="90"/>
      <c r="R64" s="90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7"/>
    </row>
    <row r="65" spans="1:32" s="17" customFormat="1" ht="12" customHeight="1">
      <c r="A65" s="169"/>
      <c r="B65" s="208"/>
      <c r="C65" s="230"/>
      <c r="D65" s="231" t="s">
        <v>133</v>
      </c>
      <c r="E65" s="231"/>
      <c r="F65" s="231"/>
      <c r="G65" s="232"/>
      <c r="H65" s="75"/>
      <c r="I65" s="23"/>
      <c r="J65" s="76"/>
      <c r="K65" s="76"/>
      <c r="L65" s="76"/>
      <c r="M65" s="76"/>
      <c r="N65" s="76"/>
      <c r="O65" s="76"/>
      <c r="P65" s="76" t="s">
        <v>50</v>
      </c>
      <c r="Q65" s="76"/>
      <c r="R65" s="76"/>
      <c r="S65" s="90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7"/>
    </row>
    <row r="66" spans="1:32" s="17" customFormat="1" ht="12" customHeight="1">
      <c r="A66" s="169"/>
      <c r="B66" s="208"/>
      <c r="C66" s="230"/>
      <c r="D66" s="233" t="s">
        <v>137</v>
      </c>
      <c r="E66" s="234"/>
      <c r="F66" s="234"/>
      <c r="G66" s="235"/>
      <c r="H66" s="75"/>
      <c r="I66" s="23"/>
      <c r="J66" s="76"/>
      <c r="K66" s="76"/>
      <c r="L66" s="76"/>
      <c r="M66" s="76"/>
      <c r="N66" s="76"/>
      <c r="O66" s="76"/>
      <c r="P66" s="76"/>
      <c r="Q66" s="76"/>
      <c r="R66" s="76" t="s">
        <v>50</v>
      </c>
      <c r="S66" s="92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7"/>
    </row>
    <row r="67" spans="1:32" s="17" customFormat="1" ht="12" customHeight="1">
      <c r="A67" s="169"/>
      <c r="B67" s="208"/>
      <c r="C67" s="230"/>
      <c r="D67" s="233" t="s">
        <v>134</v>
      </c>
      <c r="E67" s="234"/>
      <c r="F67" s="234"/>
      <c r="G67" s="235"/>
      <c r="H67" s="75"/>
      <c r="I67" s="23"/>
      <c r="J67" s="76"/>
      <c r="K67" s="76"/>
      <c r="L67" s="76"/>
      <c r="M67" s="76"/>
      <c r="N67" s="76"/>
      <c r="O67" s="76"/>
      <c r="P67" s="76"/>
      <c r="Q67" s="76" t="s">
        <v>50</v>
      </c>
      <c r="R67" s="76"/>
      <c r="S67" s="92" t="s">
        <v>50</v>
      </c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7"/>
    </row>
    <row r="68" spans="1:32" s="17" customFormat="1" ht="12" customHeight="1">
      <c r="A68" s="169"/>
      <c r="B68" s="208"/>
      <c r="C68" s="230"/>
      <c r="D68" s="233" t="s">
        <v>135</v>
      </c>
      <c r="E68" s="234"/>
      <c r="F68" s="234"/>
      <c r="G68" s="235"/>
      <c r="H68" s="75"/>
      <c r="I68" s="23"/>
      <c r="J68" s="76"/>
      <c r="K68" s="76"/>
      <c r="L68" s="76"/>
      <c r="M68" s="76"/>
      <c r="N68" s="76"/>
      <c r="O68" s="76"/>
      <c r="P68" s="76"/>
      <c r="Q68" s="76"/>
      <c r="R68" s="76"/>
      <c r="S68" s="92"/>
      <c r="T68" s="76" t="s">
        <v>50</v>
      </c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7"/>
    </row>
    <row r="69" spans="1:32" s="17" customFormat="1" ht="12" customHeight="1">
      <c r="A69" s="169"/>
      <c r="B69" s="208"/>
      <c r="C69" s="230"/>
      <c r="D69" s="233" t="s">
        <v>136</v>
      </c>
      <c r="E69" s="234"/>
      <c r="F69" s="234"/>
      <c r="G69" s="235"/>
      <c r="H69" s="75"/>
      <c r="I69" s="23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 t="s">
        <v>50</v>
      </c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7"/>
    </row>
    <row r="70" spans="1:32" s="17" customFormat="1" ht="13.5" customHeight="1">
      <c r="A70" s="169"/>
      <c r="B70" s="208"/>
      <c r="C70" s="230"/>
      <c r="D70" s="231" t="s">
        <v>94</v>
      </c>
      <c r="E70" s="231"/>
      <c r="F70" s="231"/>
      <c r="G70" s="232"/>
      <c r="H70" s="75"/>
      <c r="I70" s="23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 t="s">
        <v>50</v>
      </c>
      <c r="W70" s="76" t="s">
        <v>50</v>
      </c>
      <c r="X70" s="76"/>
      <c r="Y70" s="76"/>
      <c r="Z70" s="76"/>
      <c r="AA70" s="90"/>
      <c r="AB70" s="90"/>
      <c r="AC70" s="76"/>
      <c r="AD70" s="76"/>
      <c r="AE70" s="76"/>
      <c r="AF70" s="77"/>
    </row>
    <row r="71" spans="1:32" s="17" customFormat="1" ht="13.5" customHeight="1">
      <c r="A71" s="169"/>
      <c r="B71" s="208"/>
      <c r="C71" s="228" t="s">
        <v>95</v>
      </c>
      <c r="D71" s="228"/>
      <c r="E71" s="228"/>
      <c r="F71" s="228"/>
      <c r="G71" s="229"/>
      <c r="H71" s="75"/>
      <c r="I71" s="23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</row>
    <row r="72" spans="1:32" s="17" customFormat="1" ht="13.5" customHeight="1">
      <c r="A72" s="169"/>
      <c r="B72" s="208"/>
      <c r="C72" s="213"/>
      <c r="D72" s="158" t="s">
        <v>96</v>
      </c>
      <c r="E72" s="159"/>
      <c r="F72" s="159"/>
      <c r="G72" s="212"/>
      <c r="H72" s="75"/>
      <c r="I72" s="23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 t="s">
        <v>59</v>
      </c>
      <c r="AB72" s="76" t="s">
        <v>59</v>
      </c>
      <c r="AC72" s="76"/>
      <c r="AD72" s="76"/>
      <c r="AE72" s="76"/>
      <c r="AF72" s="76"/>
    </row>
    <row r="73" spans="1:32" s="17" customFormat="1" ht="13.5" customHeight="1">
      <c r="A73" s="169"/>
      <c r="B73" s="208"/>
      <c r="C73" s="249"/>
      <c r="D73" s="158" t="s">
        <v>97</v>
      </c>
      <c r="E73" s="159"/>
      <c r="F73" s="159"/>
      <c r="G73" s="212"/>
      <c r="H73" s="75"/>
      <c r="I73" s="23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 t="s">
        <v>50</v>
      </c>
      <c r="Y73" s="76" t="s">
        <v>50</v>
      </c>
      <c r="Z73" s="76" t="s">
        <v>50</v>
      </c>
      <c r="AA73" s="76"/>
      <c r="AB73" s="76"/>
      <c r="AC73" s="76"/>
      <c r="AD73" s="76"/>
      <c r="AE73" s="76"/>
      <c r="AF73" s="90"/>
    </row>
    <row r="74" spans="1:32" s="17" customFormat="1" ht="13.5" customHeight="1">
      <c r="A74" s="169"/>
      <c r="B74" s="208"/>
      <c r="C74" s="249"/>
      <c r="D74" s="158" t="s">
        <v>180</v>
      </c>
      <c r="E74" s="159"/>
      <c r="F74" s="159"/>
      <c r="G74" s="212"/>
      <c r="H74" s="75"/>
      <c r="I74" s="23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 t="s">
        <v>50</v>
      </c>
      <c r="Y74" s="76" t="s">
        <v>50</v>
      </c>
      <c r="Z74" s="76" t="s">
        <v>50</v>
      </c>
      <c r="AA74" s="76" t="s">
        <v>59</v>
      </c>
      <c r="AB74" s="76" t="s">
        <v>59</v>
      </c>
      <c r="AC74" s="76"/>
      <c r="AD74" s="76"/>
      <c r="AE74" s="76"/>
      <c r="AF74" s="90"/>
    </row>
    <row r="75" spans="1:32" s="17" customFormat="1" ht="13.5" customHeight="1">
      <c r="A75" s="169"/>
      <c r="B75" s="208"/>
      <c r="C75" s="249"/>
      <c r="D75" s="158" t="s">
        <v>181</v>
      </c>
      <c r="E75" s="159"/>
      <c r="F75" s="159"/>
      <c r="G75" s="212"/>
      <c r="H75" s="75"/>
      <c r="I75" s="23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 t="s">
        <v>50</v>
      </c>
      <c r="Y75" s="76" t="s">
        <v>50</v>
      </c>
      <c r="Z75" s="76" t="s">
        <v>50</v>
      </c>
      <c r="AA75" s="76"/>
      <c r="AB75" s="76" t="s">
        <v>59</v>
      </c>
      <c r="AC75" s="76"/>
      <c r="AD75" s="76"/>
      <c r="AE75" s="76"/>
      <c r="AF75" s="90"/>
    </row>
    <row r="76" spans="1:32" s="17" customFormat="1" ht="13.5" customHeight="1">
      <c r="A76" s="169"/>
      <c r="B76" s="208"/>
      <c r="C76" s="249"/>
      <c r="D76" s="158" t="s">
        <v>182</v>
      </c>
      <c r="E76" s="159"/>
      <c r="F76" s="159"/>
      <c r="G76" s="212"/>
      <c r="H76" s="75"/>
      <c r="I76" s="23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 t="s">
        <v>59</v>
      </c>
      <c r="AB76" s="76"/>
      <c r="AC76" s="76"/>
      <c r="AD76" s="76"/>
      <c r="AE76" s="76"/>
      <c r="AF76" s="90"/>
    </row>
    <row r="77" spans="1:32" s="17" customFormat="1" ht="13.5" customHeight="1">
      <c r="A77" s="169"/>
      <c r="B77" s="208"/>
      <c r="C77" s="249"/>
      <c r="D77" s="158" t="s">
        <v>183</v>
      </c>
      <c r="E77" s="159"/>
      <c r="F77" s="159"/>
      <c r="G77" s="212"/>
      <c r="H77" s="75"/>
      <c r="I77" s="23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 t="s">
        <v>50</v>
      </c>
      <c r="Y77" s="76" t="s">
        <v>50</v>
      </c>
      <c r="Z77" s="76" t="s">
        <v>50</v>
      </c>
      <c r="AA77" s="76" t="s">
        <v>59</v>
      </c>
      <c r="AB77" s="76" t="s">
        <v>59</v>
      </c>
      <c r="AC77" s="76"/>
      <c r="AD77" s="76"/>
      <c r="AE77" s="76"/>
      <c r="AF77" s="90"/>
    </row>
    <row r="78" spans="1:32" s="17" customFormat="1" ht="13.5" customHeight="1">
      <c r="A78" s="169"/>
      <c r="B78" s="208"/>
      <c r="C78" s="249"/>
      <c r="D78" s="158" t="s">
        <v>194</v>
      </c>
      <c r="E78" s="159"/>
      <c r="F78" s="159"/>
      <c r="G78" s="212"/>
      <c r="H78" s="75"/>
      <c r="I78" s="23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 t="s">
        <v>50</v>
      </c>
      <c r="Y78" s="76" t="s">
        <v>50</v>
      </c>
      <c r="Z78" s="76" t="s">
        <v>50</v>
      </c>
      <c r="AA78" s="76" t="s">
        <v>59</v>
      </c>
      <c r="AB78" s="76" t="s">
        <v>59</v>
      </c>
      <c r="AC78" s="76"/>
      <c r="AD78" s="76"/>
      <c r="AE78" s="76"/>
      <c r="AF78" s="90"/>
    </row>
    <row r="79" spans="1:32" s="17" customFormat="1" ht="13.5" customHeight="1">
      <c r="A79" s="169"/>
      <c r="B79" s="208"/>
      <c r="C79" s="249"/>
      <c r="D79" s="158" t="s">
        <v>195</v>
      </c>
      <c r="E79" s="159"/>
      <c r="F79" s="159"/>
      <c r="G79" s="212"/>
      <c r="H79" s="75"/>
      <c r="I79" s="23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 t="s">
        <v>50</v>
      </c>
      <c r="Y79" s="76" t="s">
        <v>50</v>
      </c>
      <c r="Z79" s="76" t="s">
        <v>50</v>
      </c>
      <c r="AA79" s="76" t="s">
        <v>59</v>
      </c>
      <c r="AB79" s="76" t="s">
        <v>59</v>
      </c>
      <c r="AC79" s="76"/>
      <c r="AD79" s="76"/>
      <c r="AE79" s="76"/>
      <c r="AF79" s="90"/>
    </row>
    <row r="80" spans="1:32" s="17" customFormat="1" ht="13.5" customHeight="1">
      <c r="A80" s="169"/>
      <c r="B80" s="208"/>
      <c r="C80" s="249"/>
      <c r="D80" s="158" t="s">
        <v>98</v>
      </c>
      <c r="E80" s="159"/>
      <c r="F80" s="159"/>
      <c r="G80" s="212"/>
      <c r="H80" s="75"/>
      <c r="I80" s="23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 t="s">
        <v>50</v>
      </c>
      <c r="Y80" s="76" t="s">
        <v>50</v>
      </c>
      <c r="Z80" s="76" t="s">
        <v>50</v>
      </c>
      <c r="AA80" s="76" t="s">
        <v>59</v>
      </c>
      <c r="AB80" s="76" t="s">
        <v>59</v>
      </c>
      <c r="AC80" s="76"/>
      <c r="AD80" s="76"/>
      <c r="AE80" s="76"/>
      <c r="AF80" s="90"/>
    </row>
    <row r="81" spans="1:32" s="17" customFormat="1" ht="13.5" customHeight="1">
      <c r="A81" s="169"/>
      <c r="B81" s="208"/>
      <c r="C81" s="249"/>
      <c r="D81" s="158" t="s">
        <v>184</v>
      </c>
      <c r="E81" s="159"/>
      <c r="F81" s="159"/>
      <c r="G81" s="212"/>
      <c r="H81" s="75"/>
      <c r="I81" s="23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 t="s">
        <v>59</v>
      </c>
      <c r="AB81" s="76"/>
      <c r="AC81" s="76"/>
      <c r="AD81" s="76"/>
      <c r="AE81" s="76"/>
      <c r="AF81" s="90"/>
    </row>
    <row r="82" spans="1:32" s="17" customFormat="1" ht="13.5" customHeight="1">
      <c r="A82" s="169"/>
      <c r="B82" s="208"/>
      <c r="C82" s="249"/>
      <c r="D82" s="158" t="s">
        <v>185</v>
      </c>
      <c r="E82" s="159"/>
      <c r="F82" s="159"/>
      <c r="G82" s="212"/>
      <c r="H82" s="75"/>
      <c r="I82" s="23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 t="s">
        <v>50</v>
      </c>
      <c r="Y82" s="76" t="s">
        <v>50</v>
      </c>
      <c r="Z82" s="76" t="s">
        <v>50</v>
      </c>
      <c r="AA82" s="76"/>
      <c r="AB82" s="76" t="s">
        <v>59</v>
      </c>
      <c r="AC82" s="76"/>
      <c r="AD82" s="76"/>
      <c r="AE82" s="76"/>
      <c r="AF82" s="90"/>
    </row>
    <row r="83" spans="1:32" s="17" customFormat="1" ht="13.5" customHeight="1">
      <c r="A83" s="169"/>
      <c r="B83" s="208"/>
      <c r="C83" s="249"/>
      <c r="D83" s="158" t="s">
        <v>186</v>
      </c>
      <c r="E83" s="159"/>
      <c r="F83" s="159"/>
      <c r="G83" s="212"/>
      <c r="H83" s="75"/>
      <c r="I83" s="23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 t="s">
        <v>59</v>
      </c>
      <c r="AB83" s="76" t="s">
        <v>59</v>
      </c>
      <c r="AC83" s="76"/>
      <c r="AD83" s="76"/>
      <c r="AE83" s="76"/>
      <c r="AF83" s="90"/>
    </row>
    <row r="84" spans="1:32" s="17" customFormat="1" ht="13.5" customHeight="1">
      <c r="A84" s="169"/>
      <c r="B84" s="208"/>
      <c r="C84" s="249"/>
      <c r="D84" s="158" t="s">
        <v>99</v>
      </c>
      <c r="E84" s="159"/>
      <c r="F84" s="159"/>
      <c r="G84" s="212"/>
      <c r="H84" s="75"/>
      <c r="I84" s="23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 t="s">
        <v>59</v>
      </c>
      <c r="AB84" s="76" t="s">
        <v>59</v>
      </c>
      <c r="AC84" s="76"/>
      <c r="AD84" s="76"/>
      <c r="AE84" s="76"/>
      <c r="AF84" s="90"/>
    </row>
    <row r="85" spans="1:32" s="17" customFormat="1" ht="13.5" customHeight="1">
      <c r="A85" s="169"/>
      <c r="B85" s="208"/>
      <c r="C85" s="249"/>
      <c r="D85" s="158" t="s">
        <v>187</v>
      </c>
      <c r="E85" s="159"/>
      <c r="F85" s="159"/>
      <c r="G85" s="212"/>
      <c r="H85" s="75"/>
      <c r="I85" s="23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23" t="s">
        <v>59</v>
      </c>
      <c r="Y85" s="23" t="s">
        <v>59</v>
      </c>
      <c r="Z85" s="23" t="s">
        <v>59</v>
      </c>
      <c r="AA85" s="76"/>
      <c r="AB85" s="76"/>
      <c r="AC85" s="76"/>
      <c r="AD85" s="78"/>
      <c r="AE85" s="78"/>
      <c r="AF85" s="90"/>
    </row>
    <row r="86" spans="1:32" s="17" customFormat="1" ht="13.5" customHeight="1">
      <c r="A86" s="169"/>
      <c r="B86" s="208"/>
      <c r="C86" s="249"/>
      <c r="D86" s="158" t="s">
        <v>188</v>
      </c>
      <c r="E86" s="159"/>
      <c r="F86" s="159"/>
      <c r="G86" s="212"/>
      <c r="H86" s="75"/>
      <c r="I86" s="23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 t="s">
        <v>50</v>
      </c>
      <c r="Y86" s="76"/>
      <c r="Z86" s="76"/>
      <c r="AA86" s="76" t="s">
        <v>59</v>
      </c>
      <c r="AB86" s="76"/>
      <c r="AC86" s="90"/>
      <c r="AD86" s="23"/>
      <c r="AE86" s="23"/>
      <c r="AF86" s="78"/>
    </row>
    <row r="87" spans="1:32" s="17" customFormat="1" ht="13.5" customHeight="1">
      <c r="A87" s="169"/>
      <c r="B87" s="208"/>
      <c r="C87" s="249"/>
      <c r="D87" s="158" t="s">
        <v>159</v>
      </c>
      <c r="E87" s="159"/>
      <c r="F87" s="159"/>
      <c r="G87" s="212"/>
      <c r="H87" s="75"/>
      <c r="I87" s="23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 t="s">
        <v>50</v>
      </c>
      <c r="AA87" s="76"/>
      <c r="AB87" s="76"/>
      <c r="AC87" s="76"/>
      <c r="AD87" s="76"/>
      <c r="AE87" s="76"/>
      <c r="AF87" s="78"/>
    </row>
    <row r="88" spans="1:32" s="17" customFormat="1" ht="11.25" customHeight="1">
      <c r="A88" s="169"/>
      <c r="B88" s="208"/>
      <c r="C88" s="249"/>
      <c r="D88" s="156" t="s">
        <v>201</v>
      </c>
      <c r="E88" s="157"/>
      <c r="F88" s="157"/>
      <c r="G88" s="250"/>
      <c r="H88" s="75"/>
      <c r="I88" s="23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 t="s">
        <v>50</v>
      </c>
      <c r="Z88" s="76" t="s">
        <v>50</v>
      </c>
      <c r="AA88" s="76"/>
      <c r="AB88" s="76" t="s">
        <v>50</v>
      </c>
      <c r="AC88" s="76"/>
      <c r="AD88" s="76"/>
      <c r="AE88" s="76"/>
      <c r="AF88" s="78"/>
    </row>
    <row r="89" spans="1:32" s="17" customFormat="1" ht="11.25" customHeight="1">
      <c r="A89" s="169"/>
      <c r="B89" s="208"/>
      <c r="C89" s="158" t="s">
        <v>160</v>
      </c>
      <c r="D89" s="159"/>
      <c r="E89" s="159"/>
      <c r="F89" s="159"/>
      <c r="G89" s="212"/>
      <c r="H89" s="98"/>
      <c r="I89" s="23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 t="s">
        <v>50</v>
      </c>
      <c r="AA89" s="76"/>
      <c r="AB89" s="76"/>
      <c r="AC89" s="76"/>
      <c r="AD89" s="76"/>
      <c r="AE89" s="76"/>
      <c r="AF89" s="97"/>
    </row>
    <row r="90" spans="1:32" s="17" customFormat="1" ht="11.25" customHeight="1">
      <c r="A90" s="169"/>
      <c r="B90" s="208"/>
      <c r="C90" s="251" t="s">
        <v>163</v>
      </c>
      <c r="D90" s="252"/>
      <c r="E90" s="252"/>
      <c r="F90" s="252"/>
      <c r="G90" s="253"/>
      <c r="H90" s="98"/>
      <c r="I90" s="23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97"/>
    </row>
    <row r="91" spans="1:32" s="17" customFormat="1" ht="13.5" customHeight="1">
      <c r="A91" s="169"/>
      <c r="B91" s="208"/>
      <c r="C91" s="213"/>
      <c r="D91" s="251" t="s">
        <v>165</v>
      </c>
      <c r="E91" s="252"/>
      <c r="F91" s="252"/>
      <c r="G91" s="253"/>
      <c r="H91" s="98"/>
      <c r="I91" s="23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 t="s">
        <v>50</v>
      </c>
      <c r="Y91" s="76" t="s">
        <v>50</v>
      </c>
      <c r="Z91" s="76" t="s">
        <v>50</v>
      </c>
      <c r="AA91" s="76" t="s">
        <v>59</v>
      </c>
      <c r="AB91" s="76" t="s">
        <v>59</v>
      </c>
      <c r="AC91" s="76"/>
      <c r="AD91" s="76"/>
      <c r="AE91" s="76"/>
      <c r="AF91" s="77"/>
    </row>
    <row r="92" spans="1:32" s="17" customFormat="1" ht="13.5" customHeight="1" thickBot="1">
      <c r="A92" s="169"/>
      <c r="B92" s="208"/>
      <c r="C92" s="254"/>
      <c r="D92" s="252" t="s">
        <v>164</v>
      </c>
      <c r="E92" s="252"/>
      <c r="F92" s="252"/>
      <c r="G92" s="253"/>
      <c r="H92" s="98"/>
      <c r="I92" s="23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 t="s">
        <v>50</v>
      </c>
      <c r="AD92" s="76"/>
      <c r="AE92" s="76"/>
      <c r="AF92" s="77"/>
    </row>
    <row r="93" spans="1:32" s="17" customFormat="1" ht="24" customHeight="1">
      <c r="A93" s="160" t="s">
        <v>100</v>
      </c>
      <c r="B93" s="162"/>
      <c r="C93" s="210"/>
      <c r="D93" s="163"/>
      <c r="E93" s="163"/>
      <c r="F93" s="164"/>
      <c r="G93" s="35" t="s">
        <v>101</v>
      </c>
      <c r="H93" s="36" t="s">
        <v>52</v>
      </c>
      <c r="I93" s="37" t="s">
        <v>52</v>
      </c>
      <c r="J93" s="37" t="s">
        <v>52</v>
      </c>
      <c r="K93" s="37" t="s">
        <v>52</v>
      </c>
      <c r="L93" s="37" t="s">
        <v>52</v>
      </c>
      <c r="M93" s="37" t="s">
        <v>52</v>
      </c>
      <c r="N93" s="37" t="s">
        <v>52</v>
      </c>
      <c r="O93" s="37" t="s">
        <v>52</v>
      </c>
      <c r="P93" s="37" t="s">
        <v>52</v>
      </c>
      <c r="Q93" s="37" t="s">
        <v>52</v>
      </c>
      <c r="R93" s="37" t="s">
        <v>52</v>
      </c>
      <c r="S93" s="37" t="s">
        <v>52</v>
      </c>
      <c r="T93" s="37" t="s">
        <v>52</v>
      </c>
      <c r="U93" s="37" t="s">
        <v>52</v>
      </c>
      <c r="V93" s="37" t="s">
        <v>52</v>
      </c>
      <c r="W93" s="37" t="s">
        <v>52</v>
      </c>
      <c r="X93" s="37" t="s">
        <v>52</v>
      </c>
      <c r="Y93" s="37" t="s">
        <v>52</v>
      </c>
      <c r="Z93" s="37" t="s">
        <v>52</v>
      </c>
      <c r="AA93" s="37" t="s">
        <v>52</v>
      </c>
      <c r="AB93" s="37" t="s">
        <v>52</v>
      </c>
      <c r="AC93" s="37" t="s">
        <v>53</v>
      </c>
      <c r="AD93" s="37"/>
      <c r="AE93" s="37"/>
      <c r="AF93" s="38"/>
    </row>
    <row r="94" spans="1:32" s="17" customFormat="1" ht="27" customHeight="1">
      <c r="A94" s="161"/>
      <c r="B94" s="165"/>
      <c r="C94" s="166"/>
      <c r="D94" s="166"/>
      <c r="E94" s="166"/>
      <c r="F94" s="167"/>
      <c r="G94" s="39" t="s">
        <v>102</v>
      </c>
      <c r="H94" s="40" t="s">
        <v>189</v>
      </c>
      <c r="I94" s="40" t="s">
        <v>189</v>
      </c>
      <c r="J94" s="40" t="s">
        <v>189</v>
      </c>
      <c r="K94" s="40" t="s">
        <v>189</v>
      </c>
      <c r="L94" s="40" t="s">
        <v>189</v>
      </c>
      <c r="M94" s="40" t="s">
        <v>189</v>
      </c>
      <c r="N94" s="40" t="s">
        <v>189</v>
      </c>
      <c r="O94" s="40" t="s">
        <v>189</v>
      </c>
      <c r="P94" s="40" t="s">
        <v>189</v>
      </c>
      <c r="Q94" s="40" t="s">
        <v>189</v>
      </c>
      <c r="R94" s="40" t="s">
        <v>189</v>
      </c>
      <c r="S94" s="40" t="s">
        <v>189</v>
      </c>
      <c r="T94" s="40" t="s">
        <v>189</v>
      </c>
      <c r="U94" s="40" t="s">
        <v>189</v>
      </c>
      <c r="V94" s="40" t="s">
        <v>189</v>
      </c>
      <c r="W94" s="40" t="s">
        <v>189</v>
      </c>
      <c r="X94" s="40" t="s">
        <v>189</v>
      </c>
      <c r="Y94" s="40" t="s">
        <v>189</v>
      </c>
      <c r="Z94" s="40" t="s">
        <v>189</v>
      </c>
      <c r="AA94" s="40" t="s">
        <v>189</v>
      </c>
      <c r="AB94" s="40" t="s">
        <v>189</v>
      </c>
      <c r="AC94" s="40" t="s">
        <v>189</v>
      </c>
      <c r="AD94" s="88"/>
      <c r="AE94" s="88"/>
      <c r="AF94" s="42"/>
    </row>
    <row r="95" spans="1:32" s="17" customFormat="1" ht="27" customHeight="1">
      <c r="A95" s="161"/>
      <c r="B95" s="165"/>
      <c r="C95" s="166"/>
      <c r="D95" s="166"/>
      <c r="E95" s="166"/>
      <c r="F95" s="167"/>
      <c r="G95" s="39" t="s">
        <v>103</v>
      </c>
      <c r="H95" s="43">
        <v>43697</v>
      </c>
      <c r="I95" s="43">
        <v>43697</v>
      </c>
      <c r="J95" s="43">
        <v>43697</v>
      </c>
      <c r="K95" s="43">
        <v>43697</v>
      </c>
      <c r="L95" s="43">
        <v>43697</v>
      </c>
      <c r="M95" s="43">
        <v>43697</v>
      </c>
      <c r="N95" s="43">
        <v>43697</v>
      </c>
      <c r="O95" s="43">
        <v>43697</v>
      </c>
      <c r="P95" s="43">
        <v>43697</v>
      </c>
      <c r="Q95" s="43">
        <v>43697</v>
      </c>
      <c r="R95" s="43">
        <v>43697</v>
      </c>
      <c r="S95" s="43">
        <v>43697</v>
      </c>
      <c r="T95" s="43">
        <v>43697</v>
      </c>
      <c r="U95" s="43">
        <v>43697</v>
      </c>
      <c r="V95" s="43">
        <v>43697</v>
      </c>
      <c r="W95" s="43">
        <v>43697</v>
      </c>
      <c r="X95" s="43">
        <v>43697</v>
      </c>
      <c r="Y95" s="43">
        <v>43697</v>
      </c>
      <c r="Z95" s="43">
        <v>43697</v>
      </c>
      <c r="AA95" s="43">
        <v>43697</v>
      </c>
      <c r="AB95" s="43">
        <v>43697</v>
      </c>
      <c r="AC95" s="43">
        <v>43697</v>
      </c>
      <c r="AD95" s="44"/>
      <c r="AE95" s="44"/>
      <c r="AF95" s="45"/>
    </row>
    <row r="96" spans="1:32" s="17" customFormat="1" ht="24.75" customHeight="1">
      <c r="A96" s="161"/>
      <c r="B96" s="165"/>
      <c r="C96" s="166"/>
      <c r="D96" s="166"/>
      <c r="E96" s="166"/>
      <c r="F96" s="167"/>
      <c r="G96" s="93" t="s">
        <v>104</v>
      </c>
      <c r="H96" s="40" t="s">
        <v>197</v>
      </c>
      <c r="I96" s="40" t="s">
        <v>197</v>
      </c>
      <c r="J96" s="40" t="s">
        <v>197</v>
      </c>
      <c r="K96" s="40" t="s">
        <v>197</v>
      </c>
      <c r="L96" s="40" t="s">
        <v>197</v>
      </c>
      <c r="M96" s="40" t="s">
        <v>197</v>
      </c>
      <c r="N96" s="40" t="s">
        <v>197</v>
      </c>
      <c r="O96" s="40" t="s">
        <v>197</v>
      </c>
      <c r="P96" s="40" t="s">
        <v>197</v>
      </c>
      <c r="Q96" s="40" t="s">
        <v>197</v>
      </c>
      <c r="R96" s="40" t="s">
        <v>197</v>
      </c>
      <c r="S96" s="40" t="s">
        <v>197</v>
      </c>
      <c r="T96" s="40" t="s">
        <v>197</v>
      </c>
      <c r="U96" s="40" t="s">
        <v>197</v>
      </c>
      <c r="V96" s="40" t="s">
        <v>197</v>
      </c>
      <c r="W96" s="40" t="s">
        <v>197</v>
      </c>
      <c r="X96" s="40" t="s">
        <v>197</v>
      </c>
      <c r="Y96" s="40" t="s">
        <v>197</v>
      </c>
      <c r="Z96" s="40" t="s">
        <v>197</v>
      </c>
      <c r="AA96" s="40" t="s">
        <v>197</v>
      </c>
      <c r="AB96" s="40" t="s">
        <v>197</v>
      </c>
      <c r="AC96" s="40" t="s">
        <v>197</v>
      </c>
      <c r="AD96" s="88"/>
      <c r="AE96" s="88"/>
      <c r="AF96" s="42"/>
    </row>
    <row r="97" spans="1:32" s="17" customFormat="1" ht="24.75" customHeight="1">
      <c r="A97" s="200" t="s">
        <v>105</v>
      </c>
      <c r="B97" s="244" t="s">
        <v>106</v>
      </c>
      <c r="C97" s="245"/>
      <c r="D97" s="245"/>
      <c r="E97" s="246"/>
      <c r="F97" s="203"/>
      <c r="G97" s="204"/>
      <c r="H97" s="60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54"/>
    </row>
    <row r="98" spans="1:32" s="17" customFormat="1" ht="36" customHeight="1" thickBot="1">
      <c r="A98" s="201"/>
      <c r="B98" s="188" t="s">
        <v>107</v>
      </c>
      <c r="C98" s="189"/>
      <c r="D98" s="189"/>
      <c r="E98" s="190"/>
      <c r="F98" s="188"/>
      <c r="G98" s="205"/>
      <c r="H98" s="61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 t="str">
        <f t="shared" ref="S98:AF98" si="1">IF(S97="","",(SUM(LEN(S97)-LEN(SUBSTITUTE(S97,",","")))/LEN(",")) + 1 )</f>
        <v/>
      </c>
      <c r="T98" s="55" t="str">
        <f t="shared" si="1"/>
        <v/>
      </c>
      <c r="U98" s="55" t="str">
        <f t="shared" si="1"/>
        <v/>
      </c>
      <c r="V98" s="55" t="str">
        <f t="shared" si="1"/>
        <v/>
      </c>
      <c r="W98" s="55" t="str">
        <f t="shared" si="1"/>
        <v/>
      </c>
      <c r="X98" s="55" t="str">
        <f t="shared" si="1"/>
        <v/>
      </c>
      <c r="Y98" s="55" t="str">
        <f t="shared" si="1"/>
        <v/>
      </c>
      <c r="Z98" s="55" t="str">
        <f t="shared" si="1"/>
        <v/>
      </c>
      <c r="AA98" s="55" t="str">
        <f t="shared" si="1"/>
        <v/>
      </c>
      <c r="AB98" s="55" t="str">
        <f t="shared" si="1"/>
        <v/>
      </c>
      <c r="AC98" s="55" t="str">
        <f t="shared" si="1"/>
        <v/>
      </c>
      <c r="AD98" s="55" t="str">
        <f t="shared" si="1"/>
        <v/>
      </c>
      <c r="AE98" s="55" t="str">
        <f t="shared" si="1"/>
        <v/>
      </c>
      <c r="AF98" s="56" t="str">
        <f t="shared" si="1"/>
        <v/>
      </c>
    </row>
    <row r="99" spans="1:32" s="17" customFormat="1">
      <c r="H99" s="47"/>
      <c r="I99" s="47"/>
      <c r="J99" s="47"/>
      <c r="K99" s="47"/>
      <c r="L99" s="47"/>
      <c r="M99" s="47"/>
      <c r="N99" s="48"/>
      <c r="O99" s="49"/>
      <c r="P99" s="47"/>
      <c r="Q99" s="47"/>
      <c r="R99" s="47"/>
      <c r="S99" s="47"/>
      <c r="T99" s="47"/>
      <c r="U99" s="47"/>
      <c r="V99" s="47"/>
    </row>
  </sheetData>
  <sheetProtection insertRows="0"/>
  <protectedRanges>
    <protectedRange sqref="H93:AF97" name="Range3_1_1"/>
    <protectedRange sqref="H4:AF4 AD5:AF5 R63:AF63 H45:I51 AD46:AF54 H29:H44 O64:AF69 AA70:AF70 AF71:AF85 AD71:AE84 AF91:AF92 O53:Z54 AF29:AF39 AD40:AF41 H61:I62 J60:J62 H63:J63 N63:P63 K60:K63 H64:K64 N64 L60:M64 H6:AF8 N29:N54 I29:M59 H52:H60 AD37:AE39 AC46:AC51 AC53 AA54:AD54 N55:AF62 O37:AC41 O42:AF45 O46:AB52 O92:AE92 H10:Y25 AA10:AF25 Z10:Z15 Z17:Z25 O29:AE36 H26:AF28 AA71:AC86 AD86:AE91 O87:AC91 O70:Z86 I60:I70 H65:N92" name="Range2_1_1"/>
    <protectedRange sqref="D56:G56" name="Range2_1_5_1"/>
    <protectedRange sqref="C57:G57 C59:C69 B57:B92" name="Range2_1_2"/>
    <protectedRange sqref="C70" name="Range2_1_28"/>
    <protectedRange sqref="C58:G58" name="Range2_1_12"/>
    <protectedRange sqref="D59:G70" name="Range2_1_8_1"/>
    <protectedRange sqref="C71:G92" name="Range2_1_30"/>
    <protectedRange sqref="B1:O1 P2 T1 B2:E2" name="Range1_1_1"/>
    <protectedRange sqref="P2 AC2:AF2" name="Range1_1_1_1"/>
    <protectedRange sqref="AC1:AF1" name="Range1_1_1_2"/>
  </protectedRanges>
  <mergeCells count="138">
    <mergeCell ref="A4:A56"/>
    <mergeCell ref="B4:G4"/>
    <mergeCell ref="B5:G5"/>
    <mergeCell ref="D25:D26"/>
    <mergeCell ref="E25:G25"/>
    <mergeCell ref="E26:G26"/>
    <mergeCell ref="C89:G89"/>
    <mergeCell ref="C27:G27"/>
    <mergeCell ref="C22:C23"/>
    <mergeCell ref="D37:G37"/>
    <mergeCell ref="E36:G36"/>
    <mergeCell ref="E31:G31"/>
    <mergeCell ref="D44:G44"/>
    <mergeCell ref="D45:G45"/>
    <mergeCell ref="C46:G46"/>
    <mergeCell ref="D34:G34"/>
    <mergeCell ref="E23:G23"/>
    <mergeCell ref="C44:C45"/>
    <mergeCell ref="D40:G40"/>
    <mergeCell ref="D48:G48"/>
    <mergeCell ref="D30:D32"/>
    <mergeCell ref="E30:G30"/>
    <mergeCell ref="D56:G56"/>
    <mergeCell ref="D35:D36"/>
    <mergeCell ref="B93:F93"/>
    <mergeCell ref="B94:F94"/>
    <mergeCell ref="B95:F95"/>
    <mergeCell ref="B96:F96"/>
    <mergeCell ref="D67:G67"/>
    <mergeCell ref="D68:G68"/>
    <mergeCell ref="D87:G87"/>
    <mergeCell ref="D84:G84"/>
    <mergeCell ref="C90:G90"/>
    <mergeCell ref="D91:G91"/>
    <mergeCell ref="D92:G92"/>
    <mergeCell ref="C91:C92"/>
    <mergeCell ref="A97:A98"/>
    <mergeCell ref="B97:E97"/>
    <mergeCell ref="F97:G97"/>
    <mergeCell ref="B98:E98"/>
    <mergeCell ref="F98:G98"/>
    <mergeCell ref="A57:A92"/>
    <mergeCell ref="B57:G57"/>
    <mergeCell ref="C72:C88"/>
    <mergeCell ref="D72:G72"/>
    <mergeCell ref="D73:G73"/>
    <mergeCell ref="D74:G74"/>
    <mergeCell ref="D75:G75"/>
    <mergeCell ref="D76:G76"/>
    <mergeCell ref="D77:G77"/>
    <mergeCell ref="D78:G78"/>
    <mergeCell ref="D79:G79"/>
    <mergeCell ref="D80:G80"/>
    <mergeCell ref="D81:G81"/>
    <mergeCell ref="D82:G82"/>
    <mergeCell ref="D83:G83"/>
    <mergeCell ref="D86:G86"/>
    <mergeCell ref="D88:G88"/>
    <mergeCell ref="D66:G66"/>
    <mergeCell ref="A93:A96"/>
    <mergeCell ref="E32:G32"/>
    <mergeCell ref="C34:C42"/>
    <mergeCell ref="E38:G38"/>
    <mergeCell ref="B2:E2"/>
    <mergeCell ref="F2:H2"/>
    <mergeCell ref="I2:O2"/>
    <mergeCell ref="P2:Z2"/>
    <mergeCell ref="AA2:AB2"/>
    <mergeCell ref="AC2:AF2"/>
    <mergeCell ref="D19:D20"/>
    <mergeCell ref="E19:G19"/>
    <mergeCell ref="C15:G15"/>
    <mergeCell ref="C16:C17"/>
    <mergeCell ref="D17:G17"/>
    <mergeCell ref="C18:G18"/>
    <mergeCell ref="C19:C20"/>
    <mergeCell ref="D16:G16"/>
    <mergeCell ref="D7:D9"/>
    <mergeCell ref="D11:D14"/>
    <mergeCell ref="D22:D23"/>
    <mergeCell ref="E22:G22"/>
    <mergeCell ref="C55:G55"/>
    <mergeCell ref="C43:G43"/>
    <mergeCell ref="C30:C32"/>
    <mergeCell ref="B1:E1"/>
    <mergeCell ref="F1:O1"/>
    <mergeCell ref="P1:S1"/>
    <mergeCell ref="T1:Z1"/>
    <mergeCell ref="C24:G24"/>
    <mergeCell ref="C25:C26"/>
    <mergeCell ref="B6:B56"/>
    <mergeCell ref="C6:G6"/>
    <mergeCell ref="C7:C9"/>
    <mergeCell ref="E7:G7"/>
    <mergeCell ref="E8:G8"/>
    <mergeCell ref="E9:G9"/>
    <mergeCell ref="C10:G10"/>
    <mergeCell ref="C11:C14"/>
    <mergeCell ref="E11:G11"/>
    <mergeCell ref="E12:G12"/>
    <mergeCell ref="E13:G13"/>
    <mergeCell ref="E14:G14"/>
    <mergeCell ref="D28:G28"/>
    <mergeCell ref="C33:G33"/>
    <mergeCell ref="C51:G51"/>
    <mergeCell ref="C52:C53"/>
    <mergeCell ref="D52:G52"/>
    <mergeCell ref="D53:G53"/>
    <mergeCell ref="AA1:AB1"/>
    <mergeCell ref="AC1:AF1"/>
    <mergeCell ref="B58:B92"/>
    <mergeCell ref="C58:G58"/>
    <mergeCell ref="C59:C70"/>
    <mergeCell ref="D59:G59"/>
    <mergeCell ref="D60:G60"/>
    <mergeCell ref="D61:G61"/>
    <mergeCell ref="D62:G62"/>
    <mergeCell ref="D63:G63"/>
    <mergeCell ref="D64:G64"/>
    <mergeCell ref="D65:G65"/>
    <mergeCell ref="D69:G69"/>
    <mergeCell ref="D70:G70"/>
    <mergeCell ref="C71:G71"/>
    <mergeCell ref="E20:G20"/>
    <mergeCell ref="C29:G29"/>
    <mergeCell ref="C21:G21"/>
    <mergeCell ref="D85:G85"/>
    <mergeCell ref="C54:G54"/>
    <mergeCell ref="D49:G49"/>
    <mergeCell ref="D50:G50"/>
    <mergeCell ref="E35:G35"/>
    <mergeCell ref="D38:D39"/>
    <mergeCell ref="E41:G41"/>
    <mergeCell ref="D41:D42"/>
    <mergeCell ref="C47:C50"/>
    <mergeCell ref="D47:G47"/>
    <mergeCell ref="E39:G39"/>
    <mergeCell ref="E42:G42"/>
  </mergeCells>
  <phoneticPr fontId="3"/>
  <conditionalFormatting sqref="AF91:AF98 AD43:AD44 Z52:AA52 AC52:AD52 AD86 AD46:AD84 AE33:AE86 AE29:AE31 AF29:AF87 I29:I70 J29:J62 K29:K63 L29:M64 N29:N54 H6:AF14 P20:AF20 O23:AF23 O26:AF26 Z17:Z27 R32:AE32 S36:AE36 AD39:AD41 V43:V86 H39:U86 T39:AF39 U42:AF42 T39:V56 V45:AF45 O52:W52 X39:Z56 O54:AF54 O17:Y17 AA3:AB27 AA39:AC86 Z3:Z15 W39:X86 Z54:Z84 Y39:Y84 Y86:Z86 AC3:AF28 H3:P28 Q3:Y27 H29:AD38 Q28:AB28 O5:AC5 H87:AE98">
    <cfRule type="expression" dxfId="12" priority="15" stopIfTrue="1">
      <formula>H$96="NA"</formula>
    </cfRule>
    <cfRule type="expression" dxfId="11" priority="16" stopIfTrue="1">
      <formula>H$96="NG"</formula>
    </cfRule>
  </conditionalFormatting>
  <conditionalFormatting sqref="AD42">
    <cfRule type="expression" dxfId="10" priority="19" stopIfTrue="1">
      <formula>V$96="NA"</formula>
    </cfRule>
    <cfRule type="expression" dxfId="9" priority="20" stopIfTrue="1">
      <formula>V$96="NG"</formula>
    </cfRule>
  </conditionalFormatting>
  <conditionalFormatting sqref="Y85">
    <cfRule type="expression" dxfId="8" priority="3" stopIfTrue="1">
      <formula>Y$96="NA"</formula>
    </cfRule>
    <cfRule type="expression" dxfId="7" priority="4" stopIfTrue="1">
      <formula>Y$96="NG"</formula>
    </cfRule>
  </conditionalFormatting>
  <conditionalFormatting sqref="Z85">
    <cfRule type="expression" dxfId="6" priority="1" stopIfTrue="1">
      <formula>Z$96="NA"</formula>
    </cfRule>
    <cfRule type="expression" dxfId="5" priority="2" stopIfTrue="1">
      <formula>Z$96="NG"</formula>
    </cfRule>
  </conditionalFormatting>
  <dataValidations count="10">
    <dataValidation allowBlank="1" showInputMessage="1" showErrorMessage="1" promptTitle="Condition Type" prompt="N : Normal _x000a_A : Abnormal _x000a_B : Boundary" sqref="G93"/>
    <dataValidation allowBlank="1" showInputMessage="1" showErrorMessage="1" promptTitle="Enter" prompt="Name of the person who performed the test" sqref="G94"/>
    <dataValidation allowBlank="1" showInputMessage="1" showErrorMessage="1" promptTitle="Testing Date" prompt="Date on which test was performed in yyyy/mm/dd format" sqref="G9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96"/>
    <dataValidation allowBlank="1" showInputMessage="1" showErrorMessage="1" promptTitle="Bug ID" prompt="Unique ID throughout the project._x000a_For every Bug found during Test as well as Re-Test, a new Bug ID needs to be entered here (as a comma seperated value)" sqref="B97:E97"/>
    <dataValidation allowBlank="1" showInputMessage="1" showErrorMessage="1" promptTitle="PCL sheet name" prompt=" " sqref="F97:G97"/>
    <dataValidation type="list" allowBlank="1" showInputMessage="1" showErrorMessage="1" sqref="H96:AF96">
      <formula1>"OK, NG, NA, PT"</formula1>
    </dataValidation>
    <dataValidation type="list" allowBlank="1" showInputMessage="1" showErrorMessage="1" sqref="H93:AF93">
      <formula1>"N, A, B"</formula1>
    </dataValidation>
    <dataValidation allowBlank="1" showInputMessage="1" showErrorMessage="1" promptTitle="Check points" prompt="that need / need not be executed" sqref="A57:A92"/>
    <dataValidation allowBlank="1" showInputMessage="1" showErrorMessage="1" promptTitle="Input conditions" prompt="that need to be checked." sqref="A4:A56"/>
  </dataValidations>
  <hyperlinks>
    <hyperlink ref="E32" r:id="rId1"/>
    <hyperlink ref="E14" r:id="rId2"/>
    <hyperlink ref="E31" r:id="rId3"/>
  </hyperlinks>
  <printOptions horizontalCentered="1"/>
  <pageMargins left="0.55118110236220474" right="0.46" top="0.98425196850393704" bottom="0.98425196850393704" header="0.51181102362204722" footer="0.51181102362204722"/>
  <pageSetup paperSize="9" scale="35" orientation="portrait" r:id="rId4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5"/>
  <legacyDrawing r:id="rId6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48"/>
  <sheetViews>
    <sheetView view="pageBreakPreview" zoomScale="112" zoomScaleNormal="70" zoomScaleSheetLayoutView="112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P36" sqref="P36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60</v>
      </c>
      <c r="B1" s="182" t="s">
        <v>116</v>
      </c>
      <c r="C1" s="183"/>
      <c r="D1" s="183"/>
      <c r="E1" s="184"/>
      <c r="F1" s="182" t="s">
        <v>198</v>
      </c>
      <c r="G1" s="183"/>
      <c r="H1" s="183"/>
      <c r="I1" s="183"/>
      <c r="J1" s="183"/>
      <c r="K1" s="183"/>
      <c r="L1" s="183"/>
      <c r="M1" s="183"/>
      <c r="N1" s="183"/>
      <c r="O1" s="184"/>
      <c r="P1" s="191" t="s">
        <v>61</v>
      </c>
      <c r="Q1" s="192"/>
      <c r="R1" s="192"/>
      <c r="S1" s="193"/>
      <c r="T1" s="182" t="s">
        <v>167</v>
      </c>
      <c r="U1" s="183"/>
      <c r="V1" s="183"/>
      <c r="W1" s="183"/>
      <c r="X1" s="183"/>
      <c r="Y1" s="183"/>
      <c r="Z1" s="184"/>
      <c r="AA1" s="194" t="s">
        <v>62</v>
      </c>
      <c r="AB1" s="194"/>
      <c r="AC1" s="195">
        <v>43697</v>
      </c>
      <c r="AD1" s="195"/>
      <c r="AE1" s="195"/>
      <c r="AF1" s="196"/>
    </row>
    <row r="2" spans="1:32" ht="20.100000000000001" customHeight="1" thickBot="1">
      <c r="A2" s="64" t="s">
        <v>63</v>
      </c>
      <c r="B2" s="185" t="s">
        <v>117</v>
      </c>
      <c r="C2" s="186"/>
      <c r="D2" s="186"/>
      <c r="E2" s="187"/>
      <c r="F2" s="185" t="s">
        <v>118</v>
      </c>
      <c r="G2" s="186"/>
      <c r="H2" s="187"/>
      <c r="I2" s="188" t="s">
        <v>108</v>
      </c>
      <c r="J2" s="189"/>
      <c r="K2" s="189"/>
      <c r="L2" s="189"/>
      <c r="M2" s="189"/>
      <c r="N2" s="189"/>
      <c r="O2" s="190"/>
      <c r="P2" s="185"/>
      <c r="Q2" s="186"/>
      <c r="R2" s="186"/>
      <c r="S2" s="186"/>
      <c r="T2" s="186"/>
      <c r="U2" s="186"/>
      <c r="V2" s="186"/>
      <c r="W2" s="186"/>
      <c r="X2" s="186"/>
      <c r="Y2" s="186"/>
      <c r="Z2" s="187"/>
      <c r="AA2" s="197" t="s">
        <v>119</v>
      </c>
      <c r="AB2" s="198"/>
      <c r="AC2" s="185" t="s">
        <v>128</v>
      </c>
      <c r="AD2" s="186"/>
      <c r="AE2" s="186"/>
      <c r="AF2" s="199"/>
    </row>
    <row r="3" spans="1:32" ht="37.5" customHeight="1" thickBot="1">
      <c r="A3" s="66" t="s">
        <v>64</v>
      </c>
      <c r="B3" s="10"/>
      <c r="C3" s="10"/>
      <c r="D3" s="10"/>
      <c r="E3" s="10"/>
      <c r="F3" s="10"/>
      <c r="G3" s="65" t="s">
        <v>65</v>
      </c>
      <c r="H3" s="11">
        <f>IF(COUNTA(H4:H42)&gt;0,1,"")</f>
        <v>1</v>
      </c>
      <c r="I3" s="12" t="str">
        <f t="shared" ref="I3:AF3" si="0">IF(COUNTA(I4:I42)&gt;0,IF(H3&gt;0,H3+1,""),"")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4" t="s">
        <v>66</v>
      </c>
      <c r="B4" s="247" t="s">
        <v>125</v>
      </c>
      <c r="C4" s="247"/>
      <c r="D4" s="247"/>
      <c r="E4" s="247"/>
      <c r="F4" s="247"/>
      <c r="G4" s="24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5"/>
      <c r="B5" s="176" t="s">
        <v>108</v>
      </c>
      <c r="C5" s="177"/>
      <c r="D5" s="177"/>
      <c r="E5" s="177"/>
      <c r="F5" s="177"/>
      <c r="G5" s="216"/>
      <c r="H5" s="82" t="s">
        <v>50</v>
      </c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20"/>
    </row>
    <row r="6" spans="1:32" s="17" customFormat="1" ht="13.5" customHeight="1" thickBot="1">
      <c r="A6" s="175"/>
      <c r="B6" s="79"/>
      <c r="C6" s="267" t="s">
        <v>109</v>
      </c>
      <c r="D6" s="268"/>
      <c r="E6" s="268"/>
      <c r="F6" s="268"/>
      <c r="G6" s="269"/>
      <c r="H6" s="82" t="s">
        <v>50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68" t="s">
        <v>89</v>
      </c>
      <c r="B7" s="171" t="s">
        <v>57</v>
      </c>
      <c r="C7" s="172"/>
      <c r="D7" s="172"/>
      <c r="E7" s="172"/>
      <c r="F7" s="172"/>
      <c r="G7" s="215"/>
      <c r="H7" s="25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169"/>
      <c r="B8" s="224"/>
      <c r="C8" s="158" t="s">
        <v>110</v>
      </c>
      <c r="D8" s="159"/>
      <c r="E8" s="159"/>
      <c r="F8" s="159"/>
      <c r="G8" s="212"/>
      <c r="H8" s="75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7"/>
    </row>
    <row r="9" spans="1:32" s="17" customFormat="1" ht="13.5" customHeight="1">
      <c r="A9" s="169"/>
      <c r="B9" s="180"/>
      <c r="C9" s="80"/>
      <c r="D9" s="228" t="s">
        <v>70</v>
      </c>
      <c r="E9" s="228"/>
      <c r="F9" s="228"/>
      <c r="G9" s="229"/>
      <c r="H9" s="82" t="s">
        <v>50</v>
      </c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7"/>
    </row>
    <row r="10" spans="1:32" s="17" customFormat="1" ht="13.5" customHeight="1">
      <c r="A10" s="169"/>
      <c r="B10" s="180"/>
      <c r="C10" s="158" t="s">
        <v>74</v>
      </c>
      <c r="D10" s="159"/>
      <c r="E10" s="159"/>
      <c r="F10" s="159"/>
      <c r="G10" s="212"/>
      <c r="H10" s="83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7"/>
    </row>
    <row r="11" spans="1:32" s="17" customFormat="1" ht="13.5" customHeight="1">
      <c r="A11" s="169"/>
      <c r="B11" s="180"/>
      <c r="C11" s="80"/>
      <c r="D11" s="228" t="s">
        <v>70</v>
      </c>
      <c r="E11" s="228"/>
      <c r="F11" s="228"/>
      <c r="G11" s="229"/>
      <c r="H11" s="82" t="s">
        <v>50</v>
      </c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7"/>
    </row>
    <row r="12" spans="1:32" s="17" customFormat="1" ht="13.5" customHeight="1">
      <c r="A12" s="169"/>
      <c r="B12" s="180"/>
      <c r="C12" s="158" t="s">
        <v>67</v>
      </c>
      <c r="D12" s="159"/>
      <c r="E12" s="159"/>
      <c r="F12" s="159"/>
      <c r="G12" s="212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69"/>
      <c r="B13" s="180"/>
      <c r="C13" s="80"/>
      <c r="D13" s="228" t="s">
        <v>70</v>
      </c>
      <c r="E13" s="228"/>
      <c r="F13" s="228"/>
      <c r="G13" s="229"/>
      <c r="H13" s="82" t="s">
        <v>50</v>
      </c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69"/>
      <c r="B14" s="180"/>
      <c r="C14" s="158" t="s">
        <v>69</v>
      </c>
      <c r="D14" s="159"/>
      <c r="E14" s="159"/>
      <c r="F14" s="159"/>
      <c r="G14" s="212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69"/>
      <c r="B15" s="180"/>
      <c r="C15" s="80"/>
      <c r="D15" s="228" t="s">
        <v>70</v>
      </c>
      <c r="E15" s="228"/>
      <c r="F15" s="228"/>
      <c r="G15" s="229"/>
      <c r="H15" s="82" t="s">
        <v>50</v>
      </c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69"/>
      <c r="B16" s="180"/>
      <c r="C16" s="158" t="s">
        <v>71</v>
      </c>
      <c r="D16" s="159"/>
      <c r="E16" s="159"/>
      <c r="F16" s="159"/>
      <c r="G16" s="212"/>
      <c r="H16" s="29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69"/>
      <c r="B17" s="180"/>
      <c r="C17" s="80"/>
      <c r="D17" s="228" t="s">
        <v>70</v>
      </c>
      <c r="E17" s="228"/>
      <c r="F17" s="228"/>
      <c r="G17" s="229"/>
      <c r="H17" s="82" t="s">
        <v>50</v>
      </c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69"/>
      <c r="B18" s="180"/>
      <c r="C18" s="158" t="s">
        <v>72</v>
      </c>
      <c r="D18" s="159"/>
      <c r="E18" s="159"/>
      <c r="F18" s="159"/>
      <c r="G18" s="212"/>
      <c r="H18" s="29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69"/>
      <c r="B19" s="180"/>
      <c r="C19" s="80"/>
      <c r="D19" s="228" t="s">
        <v>70</v>
      </c>
      <c r="E19" s="228"/>
      <c r="F19" s="228"/>
      <c r="G19" s="229"/>
      <c r="H19" s="82" t="s">
        <v>50</v>
      </c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69"/>
      <c r="B20" s="180"/>
      <c r="C20" s="158" t="s">
        <v>75</v>
      </c>
      <c r="D20" s="159"/>
      <c r="E20" s="159"/>
      <c r="F20" s="159"/>
      <c r="G20" s="212"/>
      <c r="H20" s="29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69"/>
      <c r="B21" s="180"/>
      <c r="C21" s="80"/>
      <c r="D21" s="228" t="s">
        <v>70</v>
      </c>
      <c r="E21" s="228"/>
      <c r="F21" s="228"/>
      <c r="G21" s="229"/>
      <c r="H21" s="82" t="s">
        <v>50</v>
      </c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69"/>
      <c r="B22" s="180"/>
      <c r="C22" s="158" t="s">
        <v>111</v>
      </c>
      <c r="D22" s="159"/>
      <c r="E22" s="159"/>
      <c r="F22" s="159"/>
      <c r="G22" s="212"/>
      <c r="H22" s="29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69"/>
      <c r="B23" s="180"/>
      <c r="C23" s="80"/>
      <c r="D23" s="228" t="s">
        <v>70</v>
      </c>
      <c r="E23" s="228"/>
      <c r="F23" s="228"/>
      <c r="G23" s="229"/>
      <c r="H23" s="82" t="s">
        <v>50</v>
      </c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69"/>
      <c r="B24" s="180"/>
      <c r="C24" s="158" t="s">
        <v>112</v>
      </c>
      <c r="D24" s="159"/>
      <c r="E24" s="159"/>
      <c r="F24" s="159"/>
      <c r="G24" s="212"/>
      <c r="H24" s="29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69"/>
      <c r="B25" s="180"/>
      <c r="C25" s="80"/>
      <c r="D25" s="228" t="s">
        <v>70</v>
      </c>
      <c r="E25" s="228"/>
      <c r="F25" s="228"/>
      <c r="G25" s="229"/>
      <c r="H25" s="82" t="s">
        <v>50</v>
      </c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69"/>
      <c r="B26" s="180"/>
      <c r="C26" s="158" t="s">
        <v>113</v>
      </c>
      <c r="D26" s="159"/>
      <c r="E26" s="159"/>
      <c r="F26" s="159"/>
      <c r="G26" s="212"/>
      <c r="H26" s="29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69"/>
      <c r="B27" s="180"/>
      <c r="C27" s="80"/>
      <c r="D27" s="228" t="s">
        <v>70</v>
      </c>
      <c r="E27" s="228"/>
      <c r="F27" s="228"/>
      <c r="G27" s="229"/>
      <c r="H27" s="82" t="s">
        <v>50</v>
      </c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>
      <c r="A28" s="169"/>
      <c r="B28" s="180"/>
      <c r="C28" s="158" t="s">
        <v>114</v>
      </c>
      <c r="D28" s="159"/>
      <c r="E28" s="159"/>
      <c r="F28" s="159"/>
      <c r="G28" s="212"/>
      <c r="H28" s="29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</row>
    <row r="29" spans="1:32" s="17" customFormat="1" ht="13.5" customHeight="1">
      <c r="A29" s="169"/>
      <c r="B29" s="180"/>
      <c r="C29" s="80"/>
      <c r="D29" s="228" t="s">
        <v>70</v>
      </c>
      <c r="E29" s="228"/>
      <c r="F29" s="228"/>
      <c r="G29" s="229"/>
      <c r="H29" s="82" t="s">
        <v>50</v>
      </c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69"/>
      <c r="B30" s="180"/>
      <c r="C30" s="158" t="s">
        <v>80</v>
      </c>
      <c r="D30" s="159"/>
      <c r="E30" s="159"/>
      <c r="F30" s="159"/>
      <c r="G30" s="212"/>
      <c r="H30" s="29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4"/>
    </row>
    <row r="31" spans="1:32" s="17" customFormat="1" ht="13.5" customHeight="1">
      <c r="A31" s="169"/>
      <c r="B31" s="180"/>
      <c r="C31" s="80"/>
      <c r="D31" s="228" t="s">
        <v>70</v>
      </c>
      <c r="E31" s="228"/>
      <c r="F31" s="228"/>
      <c r="G31" s="229"/>
      <c r="H31" s="82" t="s">
        <v>50</v>
      </c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4"/>
    </row>
    <row r="32" spans="1:32" s="17" customFormat="1" ht="13.5" customHeight="1">
      <c r="A32" s="169"/>
      <c r="B32" s="180"/>
      <c r="C32" s="158" t="s">
        <v>82</v>
      </c>
      <c r="D32" s="159"/>
      <c r="E32" s="159"/>
      <c r="F32" s="159"/>
      <c r="G32" s="212"/>
      <c r="H32" s="29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</row>
    <row r="33" spans="1:32" s="17" customFormat="1" ht="13.5" customHeight="1">
      <c r="A33" s="169"/>
      <c r="B33" s="180"/>
      <c r="C33" s="81"/>
      <c r="D33" s="159" t="s">
        <v>115</v>
      </c>
      <c r="E33" s="159"/>
      <c r="F33" s="159"/>
      <c r="G33" s="212"/>
      <c r="H33" s="82" t="s">
        <v>50</v>
      </c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</row>
    <row r="34" spans="1:32" s="17" customFormat="1" ht="13.5" customHeight="1">
      <c r="A34" s="169"/>
      <c r="B34" s="180"/>
      <c r="C34" s="158" t="s">
        <v>83</v>
      </c>
      <c r="D34" s="159"/>
      <c r="E34" s="159"/>
      <c r="F34" s="159"/>
      <c r="G34" s="212"/>
      <c r="H34" s="29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169"/>
      <c r="B35" s="180"/>
      <c r="C35" s="81"/>
      <c r="D35" s="159" t="s">
        <v>115</v>
      </c>
      <c r="E35" s="159"/>
      <c r="F35" s="159"/>
      <c r="G35" s="212"/>
      <c r="H35" s="82" t="s">
        <v>50</v>
      </c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169"/>
      <c r="B36" s="180"/>
      <c r="C36" s="158" t="s">
        <v>84</v>
      </c>
      <c r="D36" s="159"/>
      <c r="E36" s="159"/>
      <c r="F36" s="159"/>
      <c r="G36" s="212"/>
      <c r="H36" s="29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169"/>
      <c r="B37" s="180"/>
      <c r="C37" s="81"/>
      <c r="D37" s="159" t="s">
        <v>115</v>
      </c>
      <c r="E37" s="159"/>
      <c r="F37" s="159"/>
      <c r="G37" s="212"/>
      <c r="H37" s="82" t="s">
        <v>50</v>
      </c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169"/>
      <c r="B38" s="180"/>
      <c r="C38" s="158" t="s">
        <v>85</v>
      </c>
      <c r="D38" s="159"/>
      <c r="E38" s="159"/>
      <c r="F38" s="159"/>
      <c r="G38" s="212"/>
      <c r="H38" s="29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1"/>
    </row>
    <row r="39" spans="1:32" s="17" customFormat="1" ht="13.5" customHeight="1">
      <c r="A39" s="169"/>
      <c r="B39" s="180"/>
      <c r="C39" s="81"/>
      <c r="D39" s="159" t="s">
        <v>115</v>
      </c>
      <c r="E39" s="159"/>
      <c r="F39" s="159"/>
      <c r="G39" s="212"/>
      <c r="H39" s="82" t="s">
        <v>50</v>
      </c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1"/>
    </row>
    <row r="40" spans="1:32" s="17" customFormat="1" ht="13.5" customHeight="1">
      <c r="A40" s="169"/>
      <c r="B40" s="180"/>
      <c r="C40" s="158" t="s">
        <v>86</v>
      </c>
      <c r="D40" s="159"/>
      <c r="E40" s="159"/>
      <c r="F40" s="159"/>
      <c r="G40" s="212"/>
      <c r="H40" s="29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1"/>
    </row>
    <row r="41" spans="1:32" s="17" customFormat="1" ht="15" customHeight="1" thickBot="1">
      <c r="A41" s="170"/>
      <c r="B41" s="225"/>
      <c r="C41" s="73"/>
      <c r="D41" s="270" t="s">
        <v>70</v>
      </c>
      <c r="E41" s="270"/>
      <c r="F41" s="270"/>
      <c r="G41" s="271"/>
      <c r="H41" s="84" t="s">
        <v>50</v>
      </c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4"/>
    </row>
    <row r="42" spans="1:32" s="17" customFormat="1" ht="24" customHeight="1">
      <c r="A42" s="160" t="s">
        <v>100</v>
      </c>
      <c r="B42" s="266"/>
      <c r="C42" s="163"/>
      <c r="D42" s="163"/>
      <c r="E42" s="163"/>
      <c r="F42" s="164"/>
      <c r="G42" s="35" t="s">
        <v>101</v>
      </c>
      <c r="H42" s="36" t="s">
        <v>52</v>
      </c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8"/>
    </row>
    <row r="43" spans="1:32" s="17" customFormat="1" ht="27" customHeight="1">
      <c r="A43" s="161"/>
      <c r="B43" s="165"/>
      <c r="C43" s="166"/>
      <c r="D43" s="166"/>
      <c r="E43" s="166"/>
      <c r="F43" s="167"/>
      <c r="G43" s="39" t="s">
        <v>102</v>
      </c>
      <c r="H43" s="40" t="s">
        <v>189</v>
      </c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42"/>
    </row>
    <row r="44" spans="1:32" s="17" customFormat="1" ht="27" customHeight="1">
      <c r="A44" s="161"/>
      <c r="B44" s="165"/>
      <c r="C44" s="166"/>
      <c r="D44" s="166"/>
      <c r="E44" s="166"/>
      <c r="F44" s="167"/>
      <c r="G44" s="39" t="s">
        <v>103</v>
      </c>
      <c r="H44" s="43">
        <v>43697</v>
      </c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5"/>
    </row>
    <row r="45" spans="1:32" s="17" customFormat="1" ht="24.75" customHeight="1">
      <c r="A45" s="161"/>
      <c r="B45" s="165"/>
      <c r="C45" s="166"/>
      <c r="D45" s="166"/>
      <c r="E45" s="166"/>
      <c r="F45" s="167"/>
      <c r="G45" s="74" t="s">
        <v>104</v>
      </c>
      <c r="H45" s="40" t="s">
        <v>197</v>
      </c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42"/>
    </row>
    <row r="46" spans="1:32" s="17" customFormat="1" ht="24.75" customHeight="1">
      <c r="A46" s="200" t="s">
        <v>105</v>
      </c>
      <c r="B46" s="202" t="s">
        <v>106</v>
      </c>
      <c r="C46" s="202"/>
      <c r="D46" s="202"/>
      <c r="E46" s="202"/>
      <c r="F46" s="203"/>
      <c r="G46" s="204"/>
      <c r="H46" s="60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4"/>
    </row>
    <row r="47" spans="1:32" s="17" customFormat="1" ht="36" customHeight="1" thickBot="1">
      <c r="A47" s="201"/>
      <c r="B47" s="188" t="s">
        <v>107</v>
      </c>
      <c r="C47" s="189"/>
      <c r="D47" s="189"/>
      <c r="E47" s="190"/>
      <c r="F47" s="188"/>
      <c r="G47" s="205"/>
      <c r="H47" s="61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 t="str">
        <f t="shared" ref="S47:AF47" si="1">IF(S46="","",(SUM(LEN(S46)-LEN(SUBSTITUTE(S46,",","")))/LEN(",")) + 1 )</f>
        <v/>
      </c>
      <c r="T47" s="55" t="str">
        <f t="shared" si="1"/>
        <v/>
      </c>
      <c r="U47" s="55" t="str">
        <f t="shared" si="1"/>
        <v/>
      </c>
      <c r="V47" s="55" t="str">
        <f t="shared" si="1"/>
        <v/>
      </c>
      <c r="W47" s="55" t="str">
        <f t="shared" si="1"/>
        <v/>
      </c>
      <c r="X47" s="55" t="str">
        <f t="shared" si="1"/>
        <v/>
      </c>
      <c r="Y47" s="55" t="str">
        <f t="shared" si="1"/>
        <v/>
      </c>
      <c r="Z47" s="55" t="str">
        <f t="shared" si="1"/>
        <v/>
      </c>
      <c r="AA47" s="55" t="str">
        <f t="shared" si="1"/>
        <v/>
      </c>
      <c r="AB47" s="55" t="str">
        <f t="shared" si="1"/>
        <v/>
      </c>
      <c r="AC47" s="55" t="str">
        <f t="shared" si="1"/>
        <v/>
      </c>
      <c r="AD47" s="55" t="str">
        <f t="shared" si="1"/>
        <v/>
      </c>
      <c r="AE47" s="55" t="str">
        <f t="shared" si="1"/>
        <v/>
      </c>
      <c r="AF47" s="56" t="str">
        <f t="shared" si="1"/>
        <v/>
      </c>
    </row>
    <row r="48" spans="1:32" s="17" customFormat="1">
      <c r="H48" s="47"/>
      <c r="I48" s="47"/>
      <c r="J48" s="47"/>
      <c r="K48" s="47"/>
      <c r="L48" s="47"/>
      <c r="M48" s="47"/>
      <c r="N48" s="48"/>
      <c r="O48" s="49"/>
      <c r="P48" s="47"/>
      <c r="Q48" s="47"/>
      <c r="R48" s="47"/>
      <c r="S48" s="47"/>
      <c r="T48" s="47"/>
      <c r="U48" s="47"/>
      <c r="V48" s="47"/>
    </row>
  </sheetData>
  <sheetProtection insertRows="0"/>
  <protectedRanges>
    <protectedRange sqref="B1:O1 P2 T1 B2:E2" name="Range1_1"/>
    <protectedRange sqref="H43:AF46 I42:AF42" name="Range3_1_1"/>
    <protectedRange sqref="H4:AF4 I5:AF41" name="Range2_1_1"/>
    <protectedRange sqref="B5:G6" name="Range2_1_2"/>
    <protectedRange sqref="B4:G4" name="Range2_1_2_1"/>
    <protectedRange sqref="B7:G41" name="Range2_1_3"/>
    <protectedRange sqref="H42" name="Range3_1_1_1"/>
    <protectedRange sqref="H40 H7:H8 H14 H16 H18 H20 H22 H24 H26 H28 H30 H32 H34 H36 H38 H12" name="Range2_1_1_1"/>
    <protectedRange sqref="H5:H6" name="Range2_1_6"/>
    <protectedRange sqref="H13" name="Range2_1_6_1"/>
    <protectedRange sqref="H15" name="Range2_1_6_2"/>
    <protectedRange sqref="H17" name="Range2_1_6_3"/>
    <protectedRange sqref="H9:H11 H19" name="Range2_1_6_4"/>
    <protectedRange sqref="H21" name="Range2_1_6_5"/>
    <protectedRange sqref="H23" name="Range2_1_6_6"/>
    <protectedRange sqref="H25" name="Range2_1_6_7"/>
    <protectedRange sqref="H27" name="Range2_1_6_8"/>
    <protectedRange sqref="H29" name="Range2_1_6_9"/>
    <protectedRange sqref="H31" name="Range2_1_6_10"/>
    <protectedRange sqref="H33" name="Range2_1_6_11"/>
    <protectedRange sqref="H35" name="Range2_1_6_12"/>
    <protectedRange sqref="H37" name="Range2_1_6_13"/>
    <protectedRange sqref="H39" name="Range2_1_6_14"/>
    <protectedRange sqref="H41" name="Range2_1_6_15"/>
    <protectedRange sqref="P2 AC2:AF2" name="Range1_1_1"/>
    <protectedRange sqref="AC1:AF1" name="Range1_1_1_1"/>
  </protectedRanges>
  <mergeCells count="63">
    <mergeCell ref="C8:G8"/>
    <mergeCell ref="D9:G9"/>
    <mergeCell ref="C10:G10"/>
    <mergeCell ref="D11:G11"/>
    <mergeCell ref="B8:B41"/>
    <mergeCell ref="D33:G33"/>
    <mergeCell ref="D35:G35"/>
    <mergeCell ref="D37:G37"/>
    <mergeCell ref="D39:G39"/>
    <mergeCell ref="D41:G41"/>
    <mergeCell ref="D15:G15"/>
    <mergeCell ref="C16:G16"/>
    <mergeCell ref="D17:G17"/>
    <mergeCell ref="C32:G32"/>
    <mergeCell ref="D21:G21"/>
    <mergeCell ref="C22:G22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7:A41"/>
    <mergeCell ref="B7:G7"/>
    <mergeCell ref="C12:G12"/>
    <mergeCell ref="C34:G34"/>
    <mergeCell ref="A4:A6"/>
    <mergeCell ref="B4:G4"/>
    <mergeCell ref="B5:G5"/>
    <mergeCell ref="C6:G6"/>
    <mergeCell ref="D13:G13"/>
    <mergeCell ref="C14:G14"/>
    <mergeCell ref="C18:G18"/>
    <mergeCell ref="D19:G19"/>
    <mergeCell ref="C20:G20"/>
    <mergeCell ref="C36:G36"/>
    <mergeCell ref="C38:G38"/>
    <mergeCell ref="C40:G40"/>
    <mergeCell ref="A46:A47"/>
    <mergeCell ref="B46:E46"/>
    <mergeCell ref="F46:G46"/>
    <mergeCell ref="B47:E47"/>
    <mergeCell ref="F47:G47"/>
    <mergeCell ref="A42:A45"/>
    <mergeCell ref="B42:F42"/>
    <mergeCell ref="B43:F43"/>
    <mergeCell ref="B44:F44"/>
    <mergeCell ref="B45:F45"/>
    <mergeCell ref="C28:G28"/>
    <mergeCell ref="D29:G29"/>
    <mergeCell ref="C30:G30"/>
    <mergeCell ref="D31:G31"/>
    <mergeCell ref="D23:G23"/>
    <mergeCell ref="C24:G24"/>
    <mergeCell ref="D25:G25"/>
    <mergeCell ref="C26:G26"/>
    <mergeCell ref="D27:G27"/>
  </mergeCells>
  <phoneticPr fontId="3"/>
  <conditionalFormatting sqref="H3:AF47">
    <cfRule type="expression" dxfId="4" priority="7" stopIfTrue="1">
      <formula>H$45="NA"</formula>
    </cfRule>
    <cfRule type="expression" dxfId="3" priority="8" stopIfTrue="1">
      <formula>H$45="NG"</formula>
    </cfRule>
  </conditionalFormatting>
  <conditionalFormatting sqref="H41 H21 H23 H25 H27 H29 H31 H33 H35 H37 H39 H13 H15 H17 H19 H5:H6 H9:H11">
    <cfRule type="expression" dxfId="2" priority="4" stopIfTrue="1">
      <formula>#REF!="NG"</formula>
    </cfRule>
    <cfRule type="expression" dxfId="1" priority="5" stopIfTrue="1">
      <formula>#REF!="NA"</formula>
    </cfRule>
    <cfRule type="expression" dxfId="0" priority="6" stopIfTrue="1">
      <formula>#REF!="NG"</formula>
    </cfRule>
  </conditionalFormatting>
  <dataValidations count="10">
    <dataValidation allowBlank="1" showInputMessage="1" showErrorMessage="1" promptTitle="Condition Type" prompt="N : Normal _x000a_A : Abnormal _x000a_B : Boundary" sqref="G42"/>
    <dataValidation allowBlank="1" showInputMessage="1" showErrorMessage="1" promptTitle="Enter" prompt="Name of the person who performed the test" sqref="G43"/>
    <dataValidation allowBlank="1" showInputMessage="1" showErrorMessage="1" promptTitle="Testing Date" prompt="Date on which test was performed in yyyy/mm/dd format" sqref="G4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5"/>
    <dataValidation allowBlank="1" showInputMessage="1" showErrorMessage="1" promptTitle="Bug ID" prompt="Unique ID throughout the project._x000a_For every Bug found during Test as well as Re-Test, a new Bug ID needs to be entered here (as a comma seperated value)" sqref="B46:E46"/>
    <dataValidation allowBlank="1" showInputMessage="1" showErrorMessage="1" promptTitle="PCL sheet name" prompt=" " sqref="F46:G46"/>
    <dataValidation type="list" allowBlank="1" showInputMessage="1" showErrorMessage="1" sqref="H45:AF45">
      <formula1>"OK, NG, NA, PT"</formula1>
    </dataValidation>
    <dataValidation type="list" allowBlank="1" showInputMessage="1" showErrorMessage="1" sqref="H42:AF42">
      <formula1>"N, A, B"</formula1>
    </dataValidation>
    <dataValidation allowBlank="1" showInputMessage="1" showErrorMessage="1" promptTitle="Check points" prompt="that need / need not be executed" sqref="A7:A41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C5:D99"/>
  <sheetViews>
    <sheetView topLeftCell="A55" workbookViewId="0">
      <selection activeCell="F100" sqref="F100"/>
    </sheetView>
  </sheetViews>
  <sheetFormatPr defaultRowHeight="13.5"/>
  <cols>
    <col min="3" max="3" width="18" customWidth="1"/>
    <col min="4" max="4" width="27.25" customWidth="1"/>
  </cols>
  <sheetData>
    <row r="5" spans="3:4">
      <c r="C5" s="100" t="s">
        <v>203</v>
      </c>
      <c r="D5" t="s">
        <v>202</v>
      </c>
    </row>
    <row r="52" spans="3:4">
      <c r="C52" s="100" t="s">
        <v>204</v>
      </c>
      <c r="D52" t="s">
        <v>205</v>
      </c>
    </row>
    <row r="99" spans="3:4">
      <c r="C99" s="100" t="s">
        <v>206</v>
      </c>
      <c r="D99" t="s">
        <v>207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Summary</vt:lpstr>
      <vt:lpstr>Template</vt:lpstr>
      <vt:lpstr>Page_Load</vt:lpstr>
      <vt:lpstr>Submit_Click</vt:lpstr>
      <vt:lpstr>Clear_Click</vt:lpstr>
      <vt:lpstr>Evidence</vt:lpstr>
      <vt:lpstr>Clear_Click!BugCount</vt:lpstr>
      <vt:lpstr>Page_Load!BugCount</vt:lpstr>
      <vt:lpstr>Submit_Click!BugCount</vt:lpstr>
      <vt:lpstr>BugCount</vt:lpstr>
      <vt:lpstr>Clear_Click!BugSheetName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Kailas</cp:lastModifiedBy>
  <cp:lastPrinted>2010-03-26T11:46:07Z</cp:lastPrinted>
  <dcterms:created xsi:type="dcterms:W3CDTF">2005-06-14T08:18:38Z</dcterms:created>
  <dcterms:modified xsi:type="dcterms:W3CDTF">2019-08-22T07:55:22Z</dcterms:modified>
</cp:coreProperties>
</file>