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5"/>
  </bookViews>
  <sheets>
    <sheet name="Assignment" sheetId="77" r:id="rId1"/>
    <sheet name="Summary" sheetId="32" r:id="rId2"/>
    <sheet name="Template" sheetId="21" state="hidden" r:id="rId3"/>
    <sheet name="Page_Load" sheetId="71" r:id="rId4"/>
    <sheet name="Submit_Click" sheetId="72" r:id="rId5"/>
    <sheet name="Clear_Click" sheetId="75" r:id="rId6"/>
    <sheet name="Evidence" sheetId="76" r:id="rId7"/>
  </sheets>
  <definedNames>
    <definedName name="_A02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1" hidden="1">Summary!$B$9:$AL$9</definedName>
    <definedName name="aa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Clear_Click!$H$47:$AF$47</definedName>
    <definedName name="BugCount" localSheetId="3">Page_Load!$H$56:$AF$56</definedName>
    <definedName name="BugCount" localSheetId="4">Submit_Click!$H$97:$AF$97</definedName>
    <definedName name="BugCount">Template!$H$29:$AF$29</definedName>
    <definedName name="BugSheetName" localSheetId="5">Clear_Click!$F$46</definedName>
    <definedName name="BugSheetName" localSheetId="3">Page_Load!$F$55</definedName>
    <definedName name="BugSheetName" localSheetId="4">Submit_Click!$F$96</definedName>
    <definedName name="BugSheetName">Template!$F$28</definedName>
    <definedName name="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5">Clear_Click!$A$1:$AF$48</definedName>
    <definedName name="_xlnm.Print_Area" localSheetId="3">Page_Load!$A$1:$AF$57</definedName>
    <definedName name="_xlnm.Print_Area" localSheetId="4">Submit_Click!$A$1:$AF$98</definedName>
    <definedName name="_xlnm.Print_Area" localSheetId="1">Summary!$A$5:$AM$33</definedName>
    <definedName name="_xlnm.Print_Area" localSheetId="2">Template!$A$1:$AF$30</definedName>
    <definedName name="_xlnm.Print_Titles" localSheetId="5">Clear_Click!$1:$3</definedName>
    <definedName name="_xlnm.Print_Titles" localSheetId="3">Page_Load!$1:$3</definedName>
    <definedName name="_xlnm.Print_Titles" localSheetId="4">Submit_Click!$1:$3</definedName>
    <definedName name="_xlnm.Print_Titles" localSheetId="1">Summary!$5:$9</definedName>
    <definedName name="_xlnm.Print_Titles" localSheetId="2">Template!$1:$3</definedName>
    <definedName name="ｓｓ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5">Clear_Click!$G$45</definedName>
    <definedName name="TestResult" localSheetId="3">Page_Load!$G$54</definedName>
    <definedName name="TestResult" localSheetId="4">Submit_Click!$G$95</definedName>
    <definedName name="TestResult">Template!$G$27</definedName>
    <definedName name="wrn.confshet.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AF3" l="1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U12" i="32"/>
  <c r="K12"/>
  <c r="R12"/>
  <c r="X12"/>
  <c r="O12"/>
  <c r="AI12"/>
  <c r="AA12" l="1"/>
  <c r="AE12" s="1"/>
  <c r="AF97" i="72"/>
  <c r="AE97"/>
  <c r="AD97"/>
  <c r="AC97"/>
  <c r="AB97"/>
  <c r="AA97"/>
  <c r="Z97"/>
  <c r="Y97"/>
  <c r="X97"/>
  <c r="W97"/>
  <c r="V97"/>
  <c r="U97"/>
  <c r="T97"/>
  <c r="S97"/>
  <c r="AI11" i="32"/>
  <c r="U11"/>
  <c r="R11"/>
  <c r="O11"/>
  <c r="X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6"/>
  <c r="T56"/>
  <c r="U56"/>
  <c r="V56"/>
  <c r="W56"/>
  <c r="X56"/>
  <c r="Y56"/>
  <c r="Z56"/>
  <c r="AA56"/>
  <c r="AB56"/>
  <c r="AC56"/>
  <c r="AD56"/>
  <c r="AE56"/>
  <c r="AF5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X10" i="32"/>
  <c r="K10"/>
  <c r="AI10"/>
  <c r="U10"/>
  <c r="O10"/>
  <c r="K11"/>
  <c r="R10"/>
  <c r="AE11" l="1"/>
  <c r="AA3"/>
  <c r="AE3" s="1"/>
  <c r="U14"/>
  <c r="X14"/>
  <c r="K14"/>
  <c r="AI14"/>
  <c r="AA10"/>
  <c r="AA14" s="1"/>
  <c r="O14"/>
  <c r="R14"/>
  <c r="R15" l="1"/>
  <c r="AA15"/>
  <c r="U15"/>
  <c r="O15"/>
  <c r="X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<sst xmlns="http://schemas.openxmlformats.org/spreadsheetml/2006/main" count="980" uniqueCount="209">
  <si>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</si>
  <si>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</si>
  <si>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</si>
  <si>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</si>
  <si>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</si>
  <si>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</si>
  <si>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</si>
  <si>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</si>
  <si>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</si>
  <si>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</si>
  <si>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</si>
  <si>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</si>
  <si>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</si>
  <si>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</si>
  <si>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</si>
  <si>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</si>
  <si>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</si>
  <si>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</si>
  <si>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</si>
  <si>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</si>
  <si>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</si>
  <si>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</si>
  <si>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</si>
  <si>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</si>
  <si>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</si>
  <si>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</si>
  <si>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</si>
  <si>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</si>
  <si>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</si>
  <si>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</si>
  <si>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</si>
  <si>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</si>
  <si>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</si>
  <si>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</si>
  <si>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</si>
  <si>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</si>
  <si>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</si>
  <si>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</si>
  <si>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</si>
  <si>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</si>
  <si>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</si>
  <si>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</si>
  <si>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</si>
  <si>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</si>
  <si>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</si>
  <si>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</si>
  <si>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</si>
  <si>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</si>
  <si>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</si>
  <si>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</si>
  <si>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</si>
  <si>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</si>
  <si>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</si>
  <si>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</si>
  <si>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</si>
  <si>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</si>
  <si>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</si>
  <si>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</si>
  <si>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</si>
  <si>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</si>
  <si>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</si>
  <si>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</si>
  <si>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</si>
  <si>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</si>
  <si>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</si>
  <si>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</si>
  <si>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</si>
  <si>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</si>
  <si>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</si>
  <si>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</si>
  <si>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</si>
  <si>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</si>
  <si>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</si>
  <si>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</si>
  <si>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</si>
  <si>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</si>
  <si>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</si>
  <si>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</si>
  <si>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</si>
  <si>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</si>
  <si>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</si>
  <si>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</si>
  <si>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</si>
  <si>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</si>
  <si>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</si>
  <si>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</si>
  <si>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</si>
  <si>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</si>
  <si>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</si>
  <si>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</si>
  <si>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</si>
  <si>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</si>
  <si>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</si>
  <si>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</si>
  <si>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</si>
  <si>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</si>
  <si>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</si>
  <si>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</si>
  <si>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</si>
  <si>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</si>
  <si>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</si>
  <si>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</si>
  <si>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</si>
  <si>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</si>
  <si>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Email ID</t>
  </si>
  <si>
    <t>Birth Year</t>
  </si>
  <si>
    <t>Birth Month</t>
  </si>
  <si>
    <t>Birth Date</t>
  </si>
  <si>
    <t>Unchecked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</si>
  <si>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</si>
  <si>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</si>
  <si>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</si>
  <si>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</si>
  <si>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</si>
  <si>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</si>
  <si>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</si>
  <si>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</si>
  <si>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</si>
  <si>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</si>
  <si>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</si>
  <si>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</si>
  <si>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</si>
  <si>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</si>
  <si>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</si>
  <si>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</si>
  <si>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</si>
  <si>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</si>
  <si>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</si>
  <si>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Page</t>
  </si>
  <si>
    <t>1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</si>
  <si>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</si>
  <si>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</si>
  <si>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</si>
  <si>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</si>
  <si>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</si>
  <si>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</si>
  <si>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</si>
  <si>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</si>
  <si>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</si>
  <si>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</si>
  <si>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</si>
  <si>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</si>
  <si>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</si>
  <si>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</si>
  <si>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</si>
  <si>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</si>
  <si>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</si>
  <si>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</si>
  <si>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</si>
  <si>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</si>
  <si>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</si>
  <si>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Mr.</t>
  </si>
  <si>
    <t>userdetails.Sex : Male</t>
  </si>
  <si>
    <t>userdetails.Interest : Web</t>
  </si>
  <si>
    <t xml:space="preserve">userdetails.Interest : Web  Database Swing  Mobile </t>
  </si>
  <si>
    <t xml:space="preserve"> Error page  </t>
  </si>
  <si>
    <t>[JVS : Skillup_JSP]</t>
    <phoneticPr fontId="3"/>
  </si>
  <si>
    <t xml:space="preserve">  " "  </t>
    <phoneticPr fontId="3"/>
  </si>
  <si>
    <t>Aurangabad</t>
    <phoneticPr fontId="3"/>
  </si>
  <si>
    <t>Please Enter the First Name</t>
    <phoneticPr fontId="3"/>
  </si>
  <si>
    <t>Password  must contain atleast 6 or more character</t>
    <phoneticPr fontId="3"/>
  </si>
  <si>
    <t>userdetails.Address : Aurangabad</t>
    <phoneticPr fontId="3"/>
  </si>
  <si>
    <t>OK</t>
  </si>
  <si>
    <t>Assignment2</t>
    <phoneticPr fontId="3"/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</si>
  <si>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</si>
  <si>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</si>
  <si>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</si>
  <si>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</si>
  <si>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</si>
  <si>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</si>
  <si>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Assignment2</t>
    <phoneticPr fontId="3"/>
  </si>
  <si>
    <t>JVS</t>
    <phoneticPr fontId="3"/>
  </si>
  <si>
    <t>User Details</t>
    <phoneticPr fontId="3"/>
  </si>
  <si>
    <t>Varad Paralikar</t>
    <phoneticPr fontId="3"/>
  </si>
  <si>
    <t>Input Screen</t>
    <phoneticPr fontId="23"/>
  </si>
  <si>
    <t>Output Screen</t>
    <phoneticPr fontId="23"/>
  </si>
  <si>
    <t>Create a table to save the form values (refer above) in the database. Using the above servlet save the form values into the database.
Note: The connection should be opened only once to the DB &amp; should close when the servlet is unloaded. Refer to the servlet lifecycle</t>
    <phoneticPr fontId="3"/>
  </si>
  <si>
    <t>〇</t>
  </si>
  <si>
    <t xml:space="preserve"> 〇</t>
  </si>
  <si>
    <t>VP</t>
    <phoneticPr fontId="3"/>
  </si>
  <si>
    <t>userdetails.Other Interest : PS4</t>
    <phoneticPr fontId="3"/>
  </si>
  <si>
    <t>vsp</t>
    <phoneticPr fontId="3"/>
  </si>
  <si>
    <t>vsp123</t>
    <phoneticPr fontId="3"/>
  </si>
  <si>
    <t>1234</t>
    <phoneticPr fontId="3"/>
  </si>
  <si>
    <t>varad123</t>
    <phoneticPr fontId="3"/>
  </si>
  <si>
    <t>Varad</t>
    <phoneticPr fontId="3"/>
  </si>
  <si>
    <t>Sanjay</t>
    <phoneticPr fontId="3"/>
  </si>
  <si>
    <t>Paralikar</t>
    <phoneticPr fontId="3"/>
  </si>
  <si>
    <t>vsp@gmail.com</t>
    <phoneticPr fontId="3"/>
  </si>
  <si>
    <t>varad@gmail.com</t>
    <phoneticPr fontId="3"/>
  </si>
  <si>
    <t>Inputted data will be display on console as follows :      Database Name  : northwind_varad</t>
    <phoneticPr fontId="3"/>
  </si>
  <si>
    <t>userdetails.FirstName : Varad</t>
    <phoneticPr fontId="3"/>
  </si>
  <si>
    <t>userdetails.Middlename : Sanjay</t>
    <phoneticPr fontId="3"/>
  </si>
  <si>
    <t>userdetails.LastName : Paralikar</t>
    <phoneticPr fontId="3"/>
  </si>
  <si>
    <t>userdetails.Password : vsp@gmail.com</t>
    <phoneticPr fontId="3"/>
  </si>
  <si>
    <t>userdetails.Email_ID : vsp@gmail.com</t>
    <phoneticPr fontId="3"/>
  </si>
  <si>
    <t>userdetails.Birth Date : 1997-3-17</t>
    <phoneticPr fontId="3"/>
  </si>
  <si>
    <t>User Name*</t>
    <phoneticPr fontId="3"/>
  </si>
  <si>
    <t>Username</t>
    <phoneticPr fontId="3"/>
  </si>
  <si>
    <t>Please Enter the Username</t>
    <phoneticPr fontId="3"/>
  </si>
  <si>
    <t>Username must contain atleast 4 or more character</t>
    <phoneticPr fontId="3"/>
  </si>
  <si>
    <t>userdetails.Username : vsp123</t>
    <phoneticPr fontId="3"/>
  </si>
  <si>
    <t>UserDetailsA</t>
    <phoneticPr fontId="3"/>
  </si>
  <si>
    <t xml:space="preserve">userdetails.Address : </t>
    <phoneticPr fontId="3"/>
  </si>
  <si>
    <t>JSP And Servlet Skillup</t>
    <phoneticPr fontId="3"/>
  </si>
  <si>
    <t>JSP And Servlet Skillup</t>
    <phoneticPr fontId="3"/>
  </si>
  <si>
    <t xml:space="preserve">userdetails.Email_ID : </t>
    <phoneticPr fontId="3"/>
  </si>
  <si>
    <t xml:space="preserve">userdetails.Salutation : </t>
    <phoneticPr fontId="3"/>
  </si>
  <si>
    <t xml:space="preserve">userdetails.Middlename : 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</si>
</sst>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  <font>
      <b/>
      <sz val="11"/>
      <color theme="1"/>
      <name val="Times New Roman"/>
      <family val="1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6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21" fillId="0" borderId="0" xfId="0" applyFont="1"/>
    <xf numFmtId="0" fontId="2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1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22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2" fillId="0" borderId="11" xfId="1" applyNumberFormat="1" applyFill="1" applyBorder="1" applyAlignment="1" applyProtection="1">
      <alignment horizontal="left" vertical="top" wrapText="1"/>
    </xf>
    <xf numFmtId="0" fontId="9" fillId="0" borderId="11" xfId="0" applyFont="1" applyBorder="1" applyAlignment="1">
      <alignment horizontal="left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5153745</xdr:colOff>
      <xdr:row>36</xdr:row>
      <xdr:rowOff>143662</xdr:rowOff>
    </xdr:to>
    <xdr:pic>
      <xdr:nvPicPr>
        <xdr:cNvPr id="5" name="Picture 4" descr="Assignment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2650" y="1371600"/>
          <a:ext cx="5153745" cy="56395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10</xdr:col>
      <xdr:colOff>544742</xdr:colOff>
      <xdr:row>86</xdr:row>
      <xdr:rowOff>105797</xdr:rowOff>
    </xdr:to>
    <xdr:pic>
      <xdr:nvPicPr>
        <xdr:cNvPr id="6" name="Picture 5" descr="Assignment2_1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52650" y="8239125"/>
          <a:ext cx="13012967" cy="7316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19</xdr:col>
      <xdr:colOff>649517</xdr:colOff>
      <xdr:row>48</xdr:row>
      <xdr:rowOff>115322</xdr:rowOff>
    </xdr:to>
    <xdr:pic>
      <xdr:nvPicPr>
        <xdr:cNvPr id="5" name="Picture 4" descr="Assignment1_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43200" y="10287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649517</xdr:colOff>
      <xdr:row>95</xdr:row>
      <xdr:rowOff>115322</xdr:rowOff>
    </xdr:to>
    <xdr:pic>
      <xdr:nvPicPr>
        <xdr:cNvPr id="6" name="Picture 5" descr="Assignment1_2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743200" y="908685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649517</xdr:colOff>
      <xdr:row>142</xdr:row>
      <xdr:rowOff>115322</xdr:rowOff>
    </xdr:to>
    <xdr:pic>
      <xdr:nvPicPr>
        <xdr:cNvPr id="7" name="Picture 6" descr="Assignment2_1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743200" y="17145000"/>
          <a:ext cx="13012967" cy="7316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vsp@gmail.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varad@gmail.com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B45"/>
  <sheetViews>
    <sheetView workbookViewId="0">
      <selection activeCell="A10" sqref="A10"/>
    </sheetView>
  </sheetViews>
  <sheetFormatPr defaultRowHeight="13.5"/>
  <cols>
    <col min="1" max="1" width="28.25" style="104" customWidth="1"/>
    <col min="2" max="2" width="91.625" style="104" customWidth="1"/>
    <col min="3" max="16384" width="9" style="104"/>
  </cols>
  <sheetData>
    <row r="2" spans="1:2" ht="67.5">
      <c r="A2" s="102" t="s">
        <v>202</v>
      </c>
      <c r="B2" s="103" t="s">
        <v>176</v>
      </c>
    </row>
    <row r="5" spans="1:2" ht="14.25">
      <c r="A5" s="102" t="s">
        <v>174</v>
      </c>
    </row>
    <row r="45" spans="1:1" ht="14.25">
      <c r="A45" s="102" t="s">
        <v>175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G23" sqref="G2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11"/>
      <c r="C3" s="113"/>
      <c r="D3" s="117"/>
      <c r="E3" s="118"/>
      <c r="F3" s="118"/>
      <c r="G3" s="118"/>
      <c r="H3" s="118"/>
      <c r="I3" s="118"/>
      <c r="J3" s="119"/>
      <c r="K3" s="105">
        <f ca="1">IF($D3="",0,MAX(INDIRECT("'"&amp;$D3&amp;"'!$H3:$AZ3")))</f>
        <v>0</v>
      </c>
      <c r="L3" s="106"/>
      <c r="M3" s="106"/>
      <c r="N3" s="107"/>
      <c r="O3" s="111" t="str">
        <f ca="1">IF($D3="","",COUNTIF(INDIRECT("'"&amp;$D3&amp;"'!$H"&amp;ROW(INDIRECT("'"&amp;$D3&amp;"'!TestResult"))&amp;":$AZ"&amp;ROW(INDIRECT("'"&amp;$D3&amp;"'!TestResult"))),O$9))</f>
        <v/>
      </c>
      <c r="P3" s="112"/>
      <c r="Q3" s="113"/>
      <c r="R3" s="111" t="str">
        <f ca="1">IF($D3="","",COUNTIF(INDIRECT("'"&amp;$D3&amp;"'!$H"&amp;ROW(INDIRECT("'"&amp;$D3&amp;"'!TestResult"))&amp;":$AZ"&amp;ROW(INDIRECT("'"&amp;$D3&amp;"'!TestResult"))),R$9))</f>
        <v/>
      </c>
      <c r="S3" s="112"/>
      <c r="T3" s="113"/>
      <c r="U3" s="111" t="str">
        <f ca="1">IF($D3="","",COUNTIF(INDIRECT("'"&amp;$D3&amp;"'!$H"&amp;ROW(INDIRECT("'"&amp;$D3&amp;"'!TestResult"))&amp;":$AZ"&amp;ROW(INDIRECT("'"&amp;$D3&amp;"'!TestResult"))),U$9))</f>
        <v/>
      </c>
      <c r="V3" s="112"/>
      <c r="W3" s="113"/>
      <c r="X3" s="111" t="str">
        <f ca="1">IF($D3="","",COUNTIF(INDIRECT("'"&amp;$D3&amp;"'!$H"&amp;ROW(INDIRECT("'"&amp;$D3&amp;"'!TestResult"))&amp;":$AZ"&amp;ROW(INDIRECT("'"&amp;$D3&amp;"'!TestResult"))),X$9))</f>
        <v/>
      </c>
      <c r="Y3" s="112"/>
      <c r="Z3" s="113"/>
      <c r="AA3" s="105">
        <f ca="1">SUM(O3:Z3)</f>
        <v>0</v>
      </c>
      <c r="AB3" s="106"/>
      <c r="AC3" s="106"/>
      <c r="AD3" s="107"/>
      <c r="AE3" s="105">
        <f ca="1">K3-AA3</f>
        <v>0</v>
      </c>
      <c r="AF3" s="106"/>
      <c r="AG3" s="106"/>
      <c r="AH3" s="107"/>
      <c r="AI3" s="108" t="str">
        <f ca="1">IF($D3="","",SUM(INDIRECT("'"&amp;$D3&amp;"'!BugCount")))</f>
        <v/>
      </c>
      <c r="AJ3" s="109"/>
      <c r="AK3" s="109"/>
      <c r="AL3" s="110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7" t="s">
        <v>156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9"/>
    </row>
    <row r="8" spans="1:38" ht="13.5" customHeight="1">
      <c r="B8" s="135"/>
      <c r="C8" s="136"/>
      <c r="D8" s="135"/>
      <c r="E8" s="137"/>
      <c r="F8" s="137"/>
      <c r="G8" s="137"/>
      <c r="H8" s="137"/>
      <c r="I8" s="137"/>
      <c r="J8" s="136"/>
      <c r="K8" s="144" t="s">
        <v>2</v>
      </c>
      <c r="L8" s="145"/>
      <c r="M8" s="145"/>
      <c r="N8" s="146"/>
      <c r="O8" s="150" t="s">
        <v>1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2"/>
      <c r="AA8" s="144" t="s">
        <v>33</v>
      </c>
      <c r="AB8" s="145"/>
      <c r="AC8" s="145"/>
      <c r="AD8" s="146"/>
      <c r="AE8" s="144" t="s">
        <v>33</v>
      </c>
      <c r="AF8" s="145"/>
      <c r="AG8" s="145"/>
      <c r="AH8" s="146"/>
      <c r="AI8" s="141"/>
      <c r="AJ8" s="142"/>
      <c r="AK8" s="142"/>
      <c r="AL8" s="143"/>
    </row>
    <row r="9" spans="1:38" s="4" customFormat="1">
      <c r="B9" s="132" t="s">
        <v>15</v>
      </c>
      <c r="C9" s="133"/>
      <c r="D9" s="132" t="s">
        <v>16</v>
      </c>
      <c r="E9" s="134"/>
      <c r="F9" s="134"/>
      <c r="G9" s="134"/>
      <c r="H9" s="134"/>
      <c r="I9" s="134"/>
      <c r="J9" s="133"/>
      <c r="K9" s="147" t="s">
        <v>31</v>
      </c>
      <c r="L9" s="148"/>
      <c r="M9" s="148"/>
      <c r="N9" s="149"/>
      <c r="O9" s="153" t="s">
        <v>17</v>
      </c>
      <c r="P9" s="154"/>
      <c r="Q9" s="155"/>
      <c r="R9" s="153" t="s">
        <v>18</v>
      </c>
      <c r="S9" s="154"/>
      <c r="T9" s="155"/>
      <c r="U9" s="153" t="s">
        <v>19</v>
      </c>
      <c r="V9" s="154"/>
      <c r="W9" s="155"/>
      <c r="X9" s="153" t="s">
        <v>20</v>
      </c>
      <c r="Y9" s="154"/>
      <c r="Z9" s="155"/>
      <c r="AA9" s="147" t="s">
        <v>32</v>
      </c>
      <c r="AB9" s="148"/>
      <c r="AC9" s="148"/>
      <c r="AD9" s="149"/>
      <c r="AE9" s="147" t="s">
        <v>34</v>
      </c>
      <c r="AF9" s="148"/>
      <c r="AG9" s="148"/>
      <c r="AH9" s="149"/>
      <c r="AI9" s="138" t="s">
        <v>35</v>
      </c>
      <c r="AJ9" s="139"/>
      <c r="AK9" s="139"/>
      <c r="AL9" s="140"/>
    </row>
    <row r="10" spans="1:38" s="4" customFormat="1">
      <c r="B10" s="111">
        <v>1</v>
      </c>
      <c r="C10" s="113"/>
      <c r="D10" s="117" t="s">
        <v>49</v>
      </c>
      <c r="E10" s="118"/>
      <c r="F10" s="118"/>
      <c r="G10" s="118"/>
      <c r="H10" s="118"/>
      <c r="I10" s="118"/>
      <c r="J10" s="119"/>
      <c r="K10" s="105">
        <f ca="1">IF($D10="",0,MAX(INDIRECT("'"&amp;$D10&amp;"'!$H3:$AZ3")))</f>
        <v>24</v>
      </c>
      <c r="L10" s="106"/>
      <c r="M10" s="106"/>
      <c r="N10" s="107"/>
      <c r="O10" s="111">
        <f ca="1">IF($D10="","",COUNTIF(INDIRECT("'"&amp;$D10&amp;"'!$H"&amp;ROW(INDIRECT("'"&amp;$D10&amp;"'!TestResult"))&amp;":$AZ"&amp;ROW(INDIRECT("'"&amp;$D10&amp;"'!TestResult"))),O$9))</f>
        <v>24</v>
      </c>
      <c r="P10" s="112"/>
      <c r="Q10" s="113"/>
      <c r="R10" s="111">
        <f ca="1">IF($D10="","",COUNTIF(INDIRECT("'"&amp;$D10&amp;"'!$H"&amp;ROW(INDIRECT("'"&amp;$D10&amp;"'!TestResult"))&amp;":$AZ"&amp;ROW(INDIRECT("'"&amp;$D10&amp;"'!TestResult"))),R$9))</f>
        <v>0</v>
      </c>
      <c r="S10" s="112"/>
      <c r="T10" s="113"/>
      <c r="U10" s="111">
        <f ca="1">IF($D10="","",COUNTIF(INDIRECT("'"&amp;$D10&amp;"'!$H"&amp;ROW(INDIRECT("'"&amp;$D10&amp;"'!TestResult"))&amp;":$AZ"&amp;ROW(INDIRECT("'"&amp;$D10&amp;"'!TestResult"))),U$9))</f>
        <v>0</v>
      </c>
      <c r="V10" s="112"/>
      <c r="W10" s="113"/>
      <c r="X10" s="111">
        <f ca="1">IF($D10="","",COUNTIF(INDIRECT("'"&amp;$D10&amp;"'!$H"&amp;ROW(INDIRECT("'"&amp;$D10&amp;"'!TestResult"))&amp;":$AZ"&amp;ROW(INDIRECT("'"&amp;$D10&amp;"'!TestResult"))),X$9))</f>
        <v>0</v>
      </c>
      <c r="Y10" s="112"/>
      <c r="Z10" s="113"/>
      <c r="AA10" s="105">
        <f ca="1">SUM(O10:Z10)</f>
        <v>24</v>
      </c>
      <c r="AB10" s="106"/>
      <c r="AC10" s="106"/>
      <c r="AD10" s="107"/>
      <c r="AE10" s="105">
        <f ca="1">K10-AA10</f>
        <v>0</v>
      </c>
      <c r="AF10" s="106"/>
      <c r="AG10" s="106"/>
      <c r="AH10" s="107"/>
      <c r="AI10" s="108">
        <f ca="1">IF($D10="","",SUM(INDIRECT("'"&amp;$D10&amp;"'!BugCount")))</f>
        <v>0</v>
      </c>
      <c r="AJ10" s="109"/>
      <c r="AK10" s="109"/>
      <c r="AL10" s="110"/>
    </row>
    <row r="11" spans="1:38" s="4" customFormat="1">
      <c r="B11" s="111">
        <v>2</v>
      </c>
      <c r="C11" s="113"/>
      <c r="D11" s="117" t="s">
        <v>54</v>
      </c>
      <c r="E11" s="118"/>
      <c r="F11" s="118"/>
      <c r="G11" s="118"/>
      <c r="H11" s="118"/>
      <c r="I11" s="118"/>
      <c r="J11" s="119"/>
      <c r="K11" s="105">
        <f ca="1">IF($D11="",0,MAX(INDIRECT("'"&amp;$D11&amp;"'!$H3:$AZ3")))</f>
        <v>22</v>
      </c>
      <c r="L11" s="106"/>
      <c r="M11" s="106"/>
      <c r="N11" s="107"/>
      <c r="O11" s="111">
        <f ca="1">IF($D11="","",COUNTIF(INDIRECT("'"&amp;$D11&amp;"'!$H"&amp;ROW(INDIRECT("'"&amp;$D11&amp;"'!TestResult"))&amp;":$AZ"&amp;ROW(INDIRECT("'"&amp;$D11&amp;"'!TestResult"))),O$9))</f>
        <v>22</v>
      </c>
      <c r="P11" s="112"/>
      <c r="Q11" s="113"/>
      <c r="R11" s="111">
        <f ca="1">IF($D11="","",COUNTIF(INDIRECT("'"&amp;$D11&amp;"'!$H"&amp;ROW(INDIRECT("'"&amp;$D11&amp;"'!TestResult"))&amp;":$AZ"&amp;ROW(INDIRECT("'"&amp;$D11&amp;"'!TestResult"))),R$9))</f>
        <v>0</v>
      </c>
      <c r="S11" s="112"/>
      <c r="T11" s="113"/>
      <c r="U11" s="111">
        <f ca="1">IF($D11="","",COUNTIF(INDIRECT("'"&amp;$D11&amp;"'!$H"&amp;ROW(INDIRECT("'"&amp;$D11&amp;"'!TestResult"))&amp;":$AZ"&amp;ROW(INDIRECT("'"&amp;$D11&amp;"'!TestResult"))),U$9))</f>
        <v>0</v>
      </c>
      <c r="V11" s="112"/>
      <c r="W11" s="113"/>
      <c r="X11" s="111">
        <f ca="1">IF($D11="","",COUNTIF(INDIRECT("'"&amp;$D11&amp;"'!$H"&amp;ROW(INDIRECT("'"&amp;$D11&amp;"'!TestResult"))&amp;":$AZ"&amp;ROW(INDIRECT("'"&amp;$D11&amp;"'!TestResult"))),X$9))</f>
        <v>0</v>
      </c>
      <c r="Y11" s="112"/>
      <c r="Z11" s="113"/>
      <c r="AA11" s="105">
        <f ca="1">SUM(O11:Z11)</f>
        <v>22</v>
      </c>
      <c r="AB11" s="106"/>
      <c r="AC11" s="106"/>
      <c r="AD11" s="107"/>
      <c r="AE11" s="105">
        <f ca="1">K11-AA11</f>
        <v>0</v>
      </c>
      <c r="AF11" s="106"/>
      <c r="AG11" s="106"/>
      <c r="AH11" s="107"/>
      <c r="AI11" s="108">
        <f ca="1">IF($D11="","",SUM(INDIRECT("'"&amp;$D11&amp;"'!BugCount")))</f>
        <v>0</v>
      </c>
      <c r="AJ11" s="109"/>
      <c r="AK11" s="109"/>
      <c r="AL11" s="110"/>
    </row>
    <row r="12" spans="1:38" s="4" customFormat="1">
      <c r="B12" s="111">
        <v>3</v>
      </c>
      <c r="C12" s="113"/>
      <c r="D12" s="117" t="s">
        <v>102</v>
      </c>
      <c r="E12" s="118"/>
      <c r="F12" s="118"/>
      <c r="G12" s="118"/>
      <c r="H12" s="118"/>
      <c r="I12" s="118"/>
      <c r="J12" s="119"/>
      <c r="K12" s="105">
        <f ca="1">IF($D12="",0,MAX(INDIRECT("'"&amp;$D12&amp;"'!$H3:$AZ3")))</f>
        <v>1</v>
      </c>
      <c r="L12" s="106"/>
      <c r="M12" s="106"/>
      <c r="N12" s="107"/>
      <c r="O12" s="111">
        <f ca="1">IF($D12="","",COUNTIF(INDIRECT("'"&amp;$D12&amp;"'!$H"&amp;ROW(INDIRECT("'"&amp;$D12&amp;"'!TestResult"))&amp;":$AZ"&amp;ROW(INDIRECT("'"&amp;$D12&amp;"'!TestResult"))),O$9))</f>
        <v>1</v>
      </c>
      <c r="P12" s="112"/>
      <c r="Q12" s="113"/>
      <c r="R12" s="111">
        <f ca="1">IF($D12="","",COUNTIF(INDIRECT("'"&amp;$D12&amp;"'!$H"&amp;ROW(INDIRECT("'"&amp;$D12&amp;"'!TestResult"))&amp;":$AZ"&amp;ROW(INDIRECT("'"&amp;$D12&amp;"'!TestResult"))),R$9))</f>
        <v>0</v>
      </c>
      <c r="S12" s="112"/>
      <c r="T12" s="113"/>
      <c r="U12" s="111">
        <f ca="1">IF($D12="","",COUNTIF(INDIRECT("'"&amp;$D12&amp;"'!$H"&amp;ROW(INDIRECT("'"&amp;$D12&amp;"'!TestResult"))&amp;":$AZ"&amp;ROW(INDIRECT("'"&amp;$D12&amp;"'!TestResult"))),U$9))</f>
        <v>0</v>
      </c>
      <c r="V12" s="112"/>
      <c r="W12" s="113"/>
      <c r="X12" s="111">
        <f ca="1">IF($D12="","",COUNTIF(INDIRECT("'"&amp;$D12&amp;"'!$H"&amp;ROW(INDIRECT("'"&amp;$D12&amp;"'!TestResult"))&amp;":$AZ"&amp;ROW(INDIRECT("'"&amp;$D12&amp;"'!TestResult"))),X$9))</f>
        <v>0</v>
      </c>
      <c r="Y12" s="112"/>
      <c r="Z12" s="113"/>
      <c r="AA12" s="105">
        <f ca="1">SUM(O12:Z12)</f>
        <v>1</v>
      </c>
      <c r="AB12" s="106"/>
      <c r="AC12" s="106"/>
      <c r="AD12" s="107"/>
      <c r="AE12" s="105">
        <f ca="1">K12-AA12</f>
        <v>0</v>
      </c>
      <c r="AF12" s="106"/>
      <c r="AG12" s="106"/>
      <c r="AH12" s="107"/>
      <c r="AI12" s="108">
        <f ca="1">IF($D12="","",SUM(INDIRECT("'"&amp;$D12&amp;"'!BugCount")))</f>
        <v>0</v>
      </c>
      <c r="AJ12" s="109"/>
      <c r="AK12" s="109"/>
      <c r="AL12" s="110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41</v>
      </c>
      <c r="B14" s="129" t="s">
        <v>2</v>
      </c>
      <c r="C14" s="130"/>
      <c r="D14" s="130"/>
      <c r="E14" s="130"/>
      <c r="F14" s="130"/>
      <c r="G14" s="130"/>
      <c r="H14" s="130"/>
      <c r="I14" s="130"/>
      <c r="J14" s="131"/>
      <c r="K14" s="120">
        <f ca="1">SUBTOTAL(9,K9:K13)</f>
        <v>47</v>
      </c>
      <c r="L14" s="121"/>
      <c r="M14" s="121"/>
      <c r="N14" s="122"/>
      <c r="O14" s="114">
        <f ca="1">SUBTOTAL(9,O9:O13)</f>
        <v>47</v>
      </c>
      <c r="P14" s="115"/>
      <c r="Q14" s="116"/>
      <c r="R14" s="114">
        <f ca="1">SUBTOTAL(9,R9:R13)</f>
        <v>0</v>
      </c>
      <c r="S14" s="115"/>
      <c r="T14" s="116"/>
      <c r="U14" s="114">
        <f ca="1">SUBTOTAL(9,U9:U13)</f>
        <v>0</v>
      </c>
      <c r="V14" s="115"/>
      <c r="W14" s="116"/>
      <c r="X14" s="114">
        <f ca="1">SUBTOTAL(9,X9:X13)</f>
        <v>0</v>
      </c>
      <c r="Y14" s="115"/>
      <c r="Z14" s="116"/>
      <c r="AA14" s="114">
        <f ca="1">SUBTOTAL(9,AA9:AA13)</f>
        <v>47</v>
      </c>
      <c r="AB14" s="115"/>
      <c r="AC14" s="115"/>
      <c r="AD14" s="116"/>
      <c r="AE14" s="114">
        <f ca="1">SUBTOTAL(9,AE9:AE13)</f>
        <v>0</v>
      </c>
      <c r="AF14" s="115"/>
      <c r="AG14" s="115"/>
      <c r="AH14" s="116"/>
      <c r="AI14" s="120">
        <f ca="1">SUBTOTAL(9,AI9:AI13)</f>
        <v>0</v>
      </c>
      <c r="AJ14" s="121"/>
      <c r="AK14" s="121"/>
      <c r="AL14" s="122"/>
    </row>
    <row r="15" spans="1:38" s="4" customFormat="1" ht="12.75" customHeight="1">
      <c r="B15" s="129" t="s">
        <v>3</v>
      </c>
      <c r="C15" s="130"/>
      <c r="D15" s="130"/>
      <c r="E15" s="130"/>
      <c r="F15" s="130"/>
      <c r="G15" s="130"/>
      <c r="H15" s="130"/>
      <c r="I15" s="130"/>
      <c r="J15" s="131"/>
      <c r="K15" s="123"/>
      <c r="L15" s="124"/>
      <c r="M15" s="124"/>
      <c r="N15" s="125"/>
      <c r="O15" s="126">
        <f ca="1">IF(ISERR(O14/$K$14),0,O14/$K$14)</f>
        <v>1</v>
      </c>
      <c r="P15" s="127"/>
      <c r="Q15" s="128"/>
      <c r="R15" s="126">
        <f ca="1">IF(ISERR(R14/$K$14),0,R14/$K$14)</f>
        <v>0</v>
      </c>
      <c r="S15" s="127"/>
      <c r="T15" s="128"/>
      <c r="U15" s="126">
        <f ca="1">IF(ISERR(U14/$K$14),0,U14/$K$14)</f>
        <v>0</v>
      </c>
      <c r="V15" s="127"/>
      <c r="W15" s="128"/>
      <c r="X15" s="126">
        <f ca="1">IF(ISERR(X14/$K$14),0,X14/$K$14)</f>
        <v>0</v>
      </c>
      <c r="Y15" s="127"/>
      <c r="Z15" s="128"/>
      <c r="AA15" s="126">
        <f ca="1">IF(ISERR(AA14/$K$14),0,AA14/$K$14)</f>
        <v>1</v>
      </c>
      <c r="AB15" s="127"/>
      <c r="AC15" s="127"/>
      <c r="AD15" s="128"/>
      <c r="AE15" s="126">
        <f ca="1">IF(ISERR(AE14/$K$14),0,AE14/$K$14)</f>
        <v>0</v>
      </c>
      <c r="AF15" s="127"/>
      <c r="AG15" s="127"/>
      <c r="AH15" s="128"/>
      <c r="AI15" s="123"/>
      <c r="AJ15" s="124"/>
      <c r="AK15" s="124"/>
      <c r="AL15" s="125"/>
    </row>
    <row r="31" spans="2:15" ht="15" customHeight="1">
      <c r="B31" s="156" t="s">
        <v>48</v>
      </c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</row>
    <row r="32" spans="2:15"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AI14:AL15"/>
    <mergeCell ref="AE10:AH10"/>
    <mergeCell ref="AE14:AH14"/>
    <mergeCell ref="AE15:AH15"/>
    <mergeCell ref="X11:Z11"/>
    <mergeCell ref="AA11:AD11"/>
    <mergeCell ref="AE11:AH11"/>
    <mergeCell ref="X15:Z15"/>
    <mergeCell ref="X10:Z10"/>
    <mergeCell ref="X14:Z14"/>
    <mergeCell ref="AA10:AD10"/>
    <mergeCell ref="AA14:AD14"/>
    <mergeCell ref="AA12:AD12"/>
    <mergeCell ref="AI11:AL11"/>
    <mergeCell ref="AA15:AD15"/>
    <mergeCell ref="X12:Z12"/>
    <mergeCell ref="B15:J15"/>
    <mergeCell ref="B10:C10"/>
    <mergeCell ref="B9:C9"/>
    <mergeCell ref="D9:J9"/>
    <mergeCell ref="B12:C12"/>
    <mergeCell ref="D12:J12"/>
    <mergeCell ref="R14:T14"/>
    <mergeCell ref="U10:W10"/>
    <mergeCell ref="U14:W14"/>
    <mergeCell ref="D10:J10"/>
    <mergeCell ref="B11:C11"/>
    <mergeCell ref="D11:J11"/>
    <mergeCell ref="K11:N11"/>
    <mergeCell ref="O11:Q11"/>
    <mergeCell ref="K14:N15"/>
    <mergeCell ref="O10:Q10"/>
    <mergeCell ref="O14:Q14"/>
    <mergeCell ref="O15:Q15"/>
    <mergeCell ref="R15:T15"/>
    <mergeCell ref="R11:T11"/>
    <mergeCell ref="U11:W11"/>
    <mergeCell ref="B14:J14"/>
    <mergeCell ref="AE12:AH12"/>
    <mergeCell ref="AI12:AL12"/>
    <mergeCell ref="K12:N12"/>
    <mergeCell ref="O12:Q12"/>
    <mergeCell ref="R12:T12"/>
    <mergeCell ref="U12:W12"/>
  </mergeCells>
  <phoneticPr fontId="3"/>
  <conditionalFormatting sqref="K13:AL13 K4:AL4 AI3:AL3 K3:AE3 AI10:AL12 K10:AE12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6" t="s">
        <v>8</v>
      </c>
      <c r="C1" s="187"/>
      <c r="D1" s="187"/>
      <c r="E1" s="188"/>
      <c r="F1" s="186" t="s">
        <v>6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0</v>
      </c>
      <c r="Q1" s="196"/>
      <c r="R1" s="196"/>
      <c r="S1" s="197"/>
      <c r="T1" s="186" t="s">
        <v>9</v>
      </c>
      <c r="U1" s="187"/>
      <c r="V1" s="187"/>
      <c r="W1" s="187"/>
      <c r="X1" s="187"/>
      <c r="Y1" s="187"/>
      <c r="Z1" s="188"/>
      <c r="AA1" s="198" t="s">
        <v>10</v>
      </c>
      <c r="AB1" s="198"/>
      <c r="AC1" s="199"/>
      <c r="AD1" s="199"/>
      <c r="AE1" s="199"/>
      <c r="AF1" s="200"/>
    </row>
    <row r="2" spans="1:32" ht="20.100000000000001" customHeight="1" thickBot="1">
      <c r="A2" s="64" t="s">
        <v>4</v>
      </c>
      <c r="B2" s="189" t="s">
        <v>8</v>
      </c>
      <c r="C2" s="190"/>
      <c r="D2" s="190"/>
      <c r="E2" s="191"/>
      <c r="F2" s="189" t="s">
        <v>7</v>
      </c>
      <c r="G2" s="190"/>
      <c r="H2" s="191"/>
      <c r="I2" s="192" t="s">
        <v>11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</v>
      </c>
      <c r="AB2" s="202"/>
      <c r="AC2" s="189" t="s">
        <v>13</v>
      </c>
      <c r="AD2" s="190"/>
      <c r="AE2" s="190"/>
      <c r="AF2" s="203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44</v>
      </c>
      <c r="B4" s="176" t="s">
        <v>21</v>
      </c>
      <c r="C4" s="176"/>
      <c r="D4" s="176"/>
      <c r="E4" s="176"/>
      <c r="F4" s="176"/>
      <c r="G4" s="17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22</v>
      </c>
      <c r="C5" s="181"/>
      <c r="D5" s="181"/>
      <c r="E5" s="181"/>
      <c r="F5" s="181"/>
      <c r="G5" s="181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9"/>
      <c r="B6" s="21"/>
      <c r="C6" s="182" t="s">
        <v>23</v>
      </c>
      <c r="D6" s="183"/>
      <c r="E6" s="183"/>
      <c r="F6" s="183"/>
      <c r="G6" s="183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9"/>
      <c r="B7" s="21"/>
      <c r="C7" s="184"/>
      <c r="D7" s="180"/>
      <c r="E7" s="183"/>
      <c r="F7" s="183"/>
      <c r="G7" s="183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9"/>
      <c r="B8" s="21"/>
      <c r="C8" s="184"/>
      <c r="D8" s="180"/>
      <c r="E8" s="183"/>
      <c r="F8" s="183"/>
      <c r="G8" s="183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9"/>
      <c r="B9" s="21"/>
      <c r="C9" s="185" t="s">
        <v>24</v>
      </c>
      <c r="D9" s="183"/>
      <c r="E9" s="183"/>
      <c r="F9" s="183"/>
      <c r="G9" s="183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9"/>
      <c r="B10" s="21"/>
      <c r="C10" s="184"/>
      <c r="D10" s="180"/>
      <c r="E10" s="183"/>
      <c r="F10" s="183"/>
      <c r="G10" s="183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9"/>
      <c r="B11" s="21"/>
      <c r="C11" s="184"/>
      <c r="D11" s="180"/>
      <c r="E11" s="183"/>
      <c r="F11" s="183"/>
      <c r="G11" s="183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9"/>
      <c r="B12" s="21"/>
      <c r="C12" s="180"/>
      <c r="D12" s="183"/>
      <c r="E12" s="183"/>
      <c r="F12" s="183"/>
      <c r="G12" s="183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9"/>
      <c r="B13" s="21"/>
      <c r="C13" s="184"/>
      <c r="D13" s="180"/>
      <c r="E13" s="183"/>
      <c r="F13" s="183"/>
      <c r="G13" s="183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9"/>
      <c r="B14" s="21"/>
      <c r="C14" s="184"/>
      <c r="D14" s="180"/>
      <c r="E14" s="183"/>
      <c r="F14" s="183"/>
      <c r="G14" s="183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2" t="s">
        <v>45</v>
      </c>
      <c r="B15" s="175" t="s">
        <v>25</v>
      </c>
      <c r="C15" s="176"/>
      <c r="D15" s="176"/>
      <c r="E15" s="176"/>
      <c r="F15" s="176"/>
      <c r="G15" s="176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73"/>
      <c r="B16" s="28"/>
      <c r="C16" s="162" t="s">
        <v>26</v>
      </c>
      <c r="D16" s="163"/>
      <c r="E16" s="163"/>
      <c r="F16" s="163"/>
      <c r="G16" s="163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3"/>
      <c r="B17" s="177"/>
      <c r="C17" s="162" t="s">
        <v>27</v>
      </c>
      <c r="D17" s="163"/>
      <c r="E17" s="163"/>
      <c r="F17" s="163"/>
      <c r="G17" s="163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3"/>
      <c r="B18" s="177"/>
      <c r="C18" s="162" t="s">
        <v>28</v>
      </c>
      <c r="D18" s="163"/>
      <c r="E18" s="163"/>
      <c r="F18" s="163"/>
      <c r="G18" s="163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3"/>
      <c r="B19" s="177"/>
      <c r="C19" s="162" t="s">
        <v>29</v>
      </c>
      <c r="D19" s="163"/>
      <c r="E19" s="163"/>
      <c r="F19" s="163"/>
      <c r="G19" s="163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3"/>
      <c r="B20" s="177"/>
      <c r="C20" s="162"/>
      <c r="D20" s="163"/>
      <c r="E20" s="163"/>
      <c r="F20" s="163"/>
      <c r="G20" s="163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73"/>
      <c r="B21" s="177"/>
      <c r="C21" s="162"/>
      <c r="D21" s="163"/>
      <c r="E21" s="163"/>
      <c r="F21" s="163"/>
      <c r="G21" s="163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73"/>
      <c r="B22" s="177"/>
      <c r="C22" s="162"/>
      <c r="D22" s="163"/>
      <c r="E22" s="163"/>
      <c r="F22" s="163"/>
      <c r="G22" s="163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74"/>
      <c r="B23" s="177"/>
      <c r="C23" s="160"/>
      <c r="D23" s="161"/>
      <c r="E23" s="161"/>
      <c r="F23" s="161"/>
      <c r="G23" s="161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64" t="s">
        <v>46</v>
      </c>
      <c r="B24" s="166"/>
      <c r="C24" s="167"/>
      <c r="D24" s="167"/>
      <c r="E24" s="167"/>
      <c r="F24" s="168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5"/>
      <c r="B25" s="169"/>
      <c r="C25" s="170"/>
      <c r="D25" s="170"/>
      <c r="E25" s="170"/>
      <c r="F25" s="171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5"/>
      <c r="B26" s="169"/>
      <c r="C26" s="170"/>
      <c r="D26" s="170"/>
      <c r="E26" s="170"/>
      <c r="F26" s="171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5"/>
      <c r="B27" s="169"/>
      <c r="C27" s="170"/>
      <c r="D27" s="170"/>
      <c r="E27" s="170"/>
      <c r="F27" s="171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04" t="s">
        <v>47</v>
      </c>
      <c r="B28" s="206" t="s">
        <v>40</v>
      </c>
      <c r="C28" s="206"/>
      <c r="D28" s="206"/>
      <c r="E28" s="206"/>
      <c r="F28" s="207" t="str">
        <f>GetBugSheetName()</f>
        <v>Clear_Click_</v>
      </c>
      <c r="G28" s="20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05"/>
      <c r="B29" s="192" t="s">
        <v>30</v>
      </c>
      <c r="C29" s="193"/>
      <c r="D29" s="193"/>
      <c r="E29" s="194"/>
      <c r="F29" s="192"/>
      <c r="G29" s="20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F57"/>
  <sheetViews>
    <sheetView view="pageBreakPreview" zoomScale="85" zoomScaleNormal="70" zoomScaleSheetLayoutView="85" workbookViewId="0">
      <pane xSplit="7" ySplit="3" topLeftCell="H58" activePane="bottomRight" state="frozen"/>
      <selection activeCell="A5" sqref="A5"/>
      <selection pane="topRight" activeCell="A5" sqref="A5"/>
      <selection pane="bottomLeft" activeCell="A5" sqref="A5"/>
      <selection pane="bottomRight" activeCell="F2" sqref="F2:H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204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170</v>
      </c>
      <c r="C2" s="190"/>
      <c r="D2" s="190"/>
      <c r="E2" s="191"/>
      <c r="F2" s="189" t="s">
        <v>172</v>
      </c>
      <c r="G2" s="190"/>
      <c r="H2" s="191"/>
      <c r="I2" s="192" t="s">
        <v>110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128</v>
      </c>
      <c r="AB2" s="202"/>
      <c r="AC2" s="189" t="s">
        <v>129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IF(COUNTA(H4:H51)&gt;0,1,"")</f>
        <v>1</v>
      </c>
      <c r="I3" s="12">
        <f t="shared" ref="I3:AF3" si="0">IF(COUNTA(I4:I51)&gt;0,IF(H3&gt;0,H3+1,""),"")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78" t="s">
        <v>66</v>
      </c>
      <c r="B4" s="176" t="s">
        <v>113</v>
      </c>
      <c r="C4" s="176"/>
      <c r="D4" s="176"/>
      <c r="E4" s="176"/>
      <c r="F4" s="176"/>
      <c r="G4" s="21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49</v>
      </c>
      <c r="C5" s="181"/>
      <c r="D5" s="181"/>
      <c r="E5" s="181"/>
      <c r="F5" s="181"/>
      <c r="G5" s="220"/>
      <c r="H5" s="98" t="s">
        <v>177</v>
      </c>
      <c r="I5" s="98" t="s">
        <v>177</v>
      </c>
      <c r="J5" s="98" t="s">
        <v>177</v>
      </c>
      <c r="K5" s="98" t="s">
        <v>177</v>
      </c>
      <c r="L5" s="98" t="s">
        <v>177</v>
      </c>
      <c r="M5" s="98" t="s">
        <v>177</v>
      </c>
      <c r="N5" s="98" t="s">
        <v>177</v>
      </c>
      <c r="O5" s="98" t="s">
        <v>177</v>
      </c>
      <c r="P5" s="98" t="s">
        <v>177</v>
      </c>
      <c r="Q5" s="98" t="s">
        <v>177</v>
      </c>
      <c r="R5" s="98" t="s">
        <v>177</v>
      </c>
      <c r="S5" s="98" t="s">
        <v>177</v>
      </c>
      <c r="T5" s="98" t="s">
        <v>177</v>
      </c>
      <c r="U5" s="98" t="s">
        <v>177</v>
      </c>
      <c r="V5" s="98" t="s">
        <v>177</v>
      </c>
      <c r="W5" s="98" t="s">
        <v>177</v>
      </c>
      <c r="X5" s="98" t="s">
        <v>177</v>
      </c>
      <c r="Y5" s="98" t="s">
        <v>177</v>
      </c>
      <c r="Z5" s="98" t="s">
        <v>177</v>
      </c>
      <c r="AA5" s="98" t="s">
        <v>177</v>
      </c>
      <c r="AB5" s="98" t="s">
        <v>177</v>
      </c>
      <c r="AC5" s="98" t="s">
        <v>177</v>
      </c>
      <c r="AD5" s="98" t="s">
        <v>177</v>
      </c>
      <c r="AE5" s="98" t="s">
        <v>177</v>
      </c>
      <c r="AF5" s="20"/>
    </row>
    <row r="6" spans="1:32" s="17" customFormat="1" ht="13.5" customHeight="1">
      <c r="A6" s="179"/>
      <c r="B6" s="225"/>
      <c r="C6" s="210" t="s">
        <v>197</v>
      </c>
      <c r="D6" s="210"/>
      <c r="E6" s="210"/>
      <c r="F6" s="210"/>
      <c r="G6" s="211"/>
      <c r="H6" s="85" t="s">
        <v>177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9"/>
      <c r="B7" s="226"/>
      <c r="C7" s="210" t="s">
        <v>130</v>
      </c>
      <c r="D7" s="210"/>
      <c r="E7" s="210"/>
      <c r="F7" s="210"/>
      <c r="G7" s="211"/>
      <c r="H7" s="85"/>
      <c r="I7" s="98" t="s">
        <v>177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9"/>
      <c r="B8" s="226"/>
      <c r="C8" s="180" t="s">
        <v>67</v>
      </c>
      <c r="D8" s="183"/>
      <c r="E8" s="183"/>
      <c r="F8" s="183"/>
      <c r="G8" s="221"/>
      <c r="H8" s="22"/>
      <c r="I8" s="23"/>
      <c r="J8" s="23" t="s">
        <v>177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9"/>
      <c r="B9" s="226"/>
      <c r="C9" s="210" t="s">
        <v>131</v>
      </c>
      <c r="D9" s="210"/>
      <c r="E9" s="210"/>
      <c r="F9" s="210"/>
      <c r="G9" s="211"/>
      <c r="H9" s="22"/>
      <c r="I9" s="23"/>
      <c r="J9" s="23"/>
      <c r="K9" s="23" t="s">
        <v>177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9"/>
      <c r="B10" s="226"/>
      <c r="C10" s="210" t="s">
        <v>71</v>
      </c>
      <c r="D10" s="210"/>
      <c r="E10" s="210"/>
      <c r="F10" s="210"/>
      <c r="G10" s="211"/>
      <c r="H10" s="22"/>
      <c r="I10" s="23"/>
      <c r="J10" s="23"/>
      <c r="K10" s="23"/>
      <c r="L10" s="23" t="s">
        <v>177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9"/>
      <c r="B11" s="226"/>
      <c r="C11" s="210" t="s">
        <v>120</v>
      </c>
      <c r="D11" s="210"/>
      <c r="E11" s="210"/>
      <c r="F11" s="210"/>
      <c r="G11" s="211"/>
      <c r="H11" s="22"/>
      <c r="I11" s="23"/>
      <c r="J11" s="23"/>
      <c r="K11" s="23"/>
      <c r="L11" s="23"/>
      <c r="M11" s="23" t="s">
        <v>177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9"/>
      <c r="B12" s="226"/>
      <c r="C12" s="210" t="s">
        <v>132</v>
      </c>
      <c r="D12" s="210"/>
      <c r="E12" s="210"/>
      <c r="F12" s="210"/>
      <c r="G12" s="21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9"/>
      <c r="B13" s="226"/>
      <c r="C13" s="212"/>
      <c r="D13" s="210" t="s">
        <v>55</v>
      </c>
      <c r="E13" s="210"/>
      <c r="F13" s="210"/>
      <c r="G13" s="211"/>
      <c r="H13" s="22"/>
      <c r="I13" s="23"/>
      <c r="J13" s="23"/>
      <c r="K13" s="23"/>
      <c r="L13" s="23"/>
      <c r="M13" s="23"/>
      <c r="N13" s="23" t="s">
        <v>177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9"/>
      <c r="B14" s="226"/>
      <c r="C14" s="212"/>
      <c r="D14" s="210" t="s">
        <v>75</v>
      </c>
      <c r="E14" s="210"/>
      <c r="F14" s="210"/>
      <c r="G14" s="211"/>
      <c r="H14" s="22"/>
      <c r="I14" s="23"/>
      <c r="J14" s="23"/>
      <c r="K14" s="23"/>
      <c r="L14" s="23"/>
      <c r="M14" s="23"/>
      <c r="N14" s="23"/>
      <c r="O14" s="23" t="s">
        <v>177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9"/>
      <c r="B15" s="226"/>
      <c r="C15" s="210" t="s">
        <v>104</v>
      </c>
      <c r="D15" s="210"/>
      <c r="E15" s="210"/>
      <c r="F15" s="210"/>
      <c r="G15" s="211"/>
      <c r="H15" s="22"/>
      <c r="I15" s="23"/>
      <c r="J15" s="23"/>
      <c r="K15" s="23"/>
      <c r="L15" s="23"/>
      <c r="M15" s="23"/>
      <c r="N15" s="23"/>
      <c r="O15" s="23"/>
      <c r="P15" s="23" t="s">
        <v>177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9"/>
      <c r="B16" s="226"/>
      <c r="C16" s="210" t="s">
        <v>112</v>
      </c>
      <c r="D16" s="210"/>
      <c r="E16" s="210"/>
      <c r="F16" s="210"/>
      <c r="G16" s="211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9"/>
      <c r="B17" s="226"/>
      <c r="C17" s="210"/>
      <c r="D17" s="210" t="s">
        <v>133</v>
      </c>
      <c r="E17" s="210"/>
      <c r="F17" s="210"/>
      <c r="G17" s="211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177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9"/>
      <c r="B18" s="226"/>
      <c r="C18" s="210"/>
      <c r="D18" s="210" t="s">
        <v>78</v>
      </c>
      <c r="E18" s="210"/>
      <c r="F18" s="210"/>
      <c r="G18" s="211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177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9"/>
      <c r="B19" s="226"/>
      <c r="C19" s="210"/>
      <c r="D19" s="210" t="s">
        <v>62</v>
      </c>
      <c r="E19" s="210"/>
      <c r="F19" s="210"/>
      <c r="G19" s="211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177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9"/>
      <c r="B20" s="226"/>
      <c r="C20" s="210" t="s">
        <v>79</v>
      </c>
      <c r="D20" s="210"/>
      <c r="E20" s="210"/>
      <c r="F20" s="210"/>
      <c r="G20" s="211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177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9"/>
      <c r="B21" s="226"/>
      <c r="C21" s="210" t="s">
        <v>134</v>
      </c>
      <c r="D21" s="210"/>
      <c r="E21" s="210"/>
      <c r="F21" s="210"/>
      <c r="G21" s="211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9"/>
      <c r="B22" s="226"/>
      <c r="C22" s="212"/>
      <c r="D22" s="213" t="s">
        <v>81</v>
      </c>
      <c r="E22" s="210"/>
      <c r="F22" s="210"/>
      <c r="G22" s="21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177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9"/>
      <c r="B23" s="226"/>
      <c r="C23" s="212"/>
      <c r="D23" s="213" t="s">
        <v>82</v>
      </c>
      <c r="E23" s="210"/>
      <c r="F23" s="210"/>
      <c r="G23" s="211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177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9"/>
      <c r="B24" s="226"/>
      <c r="C24" s="212"/>
      <c r="D24" s="213" t="s">
        <v>83</v>
      </c>
      <c r="E24" s="210"/>
      <c r="F24" s="210"/>
      <c r="G24" s="211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177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9"/>
      <c r="B25" s="226"/>
      <c r="C25" s="212"/>
      <c r="D25" s="213" t="s">
        <v>84</v>
      </c>
      <c r="E25" s="210"/>
      <c r="F25" s="210"/>
      <c r="G25" s="211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177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9"/>
      <c r="B26" s="226"/>
      <c r="C26" s="212"/>
      <c r="D26" s="183" t="s">
        <v>85</v>
      </c>
      <c r="E26" s="183"/>
      <c r="F26" s="183"/>
      <c r="G26" s="221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177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9"/>
      <c r="B27" s="226"/>
      <c r="C27" s="180" t="s">
        <v>135</v>
      </c>
      <c r="D27" s="183"/>
      <c r="E27" s="183"/>
      <c r="F27" s="183"/>
      <c r="G27" s="221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177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79"/>
      <c r="B28" s="226"/>
      <c r="C28" s="180" t="s">
        <v>136</v>
      </c>
      <c r="D28" s="183"/>
      <c r="E28" s="183"/>
      <c r="F28" s="183"/>
      <c r="G28" s="221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177</v>
      </c>
      <c r="AB28" s="23"/>
      <c r="AC28" s="23"/>
      <c r="AD28" s="23"/>
      <c r="AE28" s="23"/>
      <c r="AF28" s="24"/>
    </row>
    <row r="29" spans="1:32" s="17" customFormat="1" ht="13.5" customHeight="1">
      <c r="A29" s="179"/>
      <c r="B29" s="226"/>
      <c r="C29" s="210" t="s">
        <v>137</v>
      </c>
      <c r="D29" s="210"/>
      <c r="E29" s="210"/>
      <c r="F29" s="210"/>
      <c r="G29" s="211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9"/>
      <c r="B30" s="226"/>
      <c r="C30" s="212"/>
      <c r="D30" s="210" t="s">
        <v>138</v>
      </c>
      <c r="E30" s="210"/>
      <c r="F30" s="210"/>
      <c r="G30" s="211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177</v>
      </c>
      <c r="AC30" s="23"/>
      <c r="AD30" s="23"/>
      <c r="AE30" s="23"/>
      <c r="AF30" s="24"/>
    </row>
    <row r="31" spans="1:32" s="17" customFormat="1" ht="13.5" customHeight="1">
      <c r="A31" s="179"/>
      <c r="B31" s="226"/>
      <c r="C31" s="212"/>
      <c r="D31" s="210" t="s">
        <v>139</v>
      </c>
      <c r="E31" s="210"/>
      <c r="F31" s="210"/>
      <c r="G31" s="211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177</v>
      </c>
      <c r="AE31" s="23"/>
      <c r="AF31" s="24"/>
    </row>
    <row r="32" spans="1:32" s="17" customFormat="1" ht="13.5" customHeight="1" thickBot="1">
      <c r="A32" s="179"/>
      <c r="B32" s="227"/>
      <c r="C32" s="210" t="s">
        <v>140</v>
      </c>
      <c r="D32" s="210"/>
      <c r="E32" s="210"/>
      <c r="F32" s="210"/>
      <c r="G32" s="211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177</v>
      </c>
      <c r="AF32" s="24"/>
    </row>
    <row r="33" spans="1:32" s="17" customFormat="1" ht="13.5" customHeight="1">
      <c r="A33" s="172" t="s">
        <v>89</v>
      </c>
      <c r="B33" s="175" t="s">
        <v>57</v>
      </c>
      <c r="C33" s="176"/>
      <c r="D33" s="176"/>
      <c r="E33" s="176"/>
      <c r="F33" s="176"/>
      <c r="G33" s="176"/>
      <c r="H33" s="25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7"/>
    </row>
    <row r="34" spans="1:32" s="17" customFormat="1" ht="13.5" customHeight="1">
      <c r="A34" s="173"/>
      <c r="B34" s="212"/>
      <c r="C34" s="162" t="s">
        <v>141</v>
      </c>
      <c r="D34" s="163"/>
      <c r="E34" s="163"/>
      <c r="F34" s="163"/>
      <c r="G34" s="163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73"/>
      <c r="B35" s="212"/>
      <c r="C35" s="222"/>
      <c r="D35" s="162" t="s">
        <v>119</v>
      </c>
      <c r="E35" s="163"/>
      <c r="F35" s="163"/>
      <c r="G35" s="216"/>
      <c r="H35" s="22" t="s">
        <v>177</v>
      </c>
      <c r="I35" s="23" t="s">
        <v>177</v>
      </c>
      <c r="J35" s="23"/>
      <c r="K35" s="23" t="s">
        <v>177</v>
      </c>
      <c r="L35" s="23" t="s">
        <v>177</v>
      </c>
      <c r="M35" s="23" t="s">
        <v>177</v>
      </c>
      <c r="N35" s="23" t="s">
        <v>177</v>
      </c>
      <c r="O35" s="23" t="s">
        <v>177</v>
      </c>
      <c r="P35" s="23" t="s">
        <v>177</v>
      </c>
      <c r="Q35" s="23" t="s">
        <v>177</v>
      </c>
      <c r="R35" s="23" t="s">
        <v>177</v>
      </c>
      <c r="S35" s="23" t="s">
        <v>177</v>
      </c>
      <c r="T35" s="23" t="s">
        <v>177</v>
      </c>
      <c r="U35" s="23"/>
      <c r="V35" s="23"/>
      <c r="W35" s="23"/>
      <c r="X35" s="23"/>
      <c r="Y35" s="23" t="s">
        <v>177</v>
      </c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73"/>
      <c r="B36" s="212"/>
      <c r="C36" s="223"/>
      <c r="D36" s="163" t="s">
        <v>142</v>
      </c>
      <c r="E36" s="163"/>
      <c r="F36" s="163"/>
      <c r="G36" s="216"/>
      <c r="H36" s="22" t="s">
        <v>177</v>
      </c>
      <c r="I36" s="23" t="s">
        <v>177</v>
      </c>
      <c r="J36" s="23"/>
      <c r="K36" s="23" t="s">
        <v>177</v>
      </c>
      <c r="L36" s="23" t="s">
        <v>177</v>
      </c>
      <c r="M36" s="23" t="s">
        <v>177</v>
      </c>
      <c r="N36" s="23"/>
      <c r="O36" s="23"/>
      <c r="P36" s="23" t="s">
        <v>177</v>
      </c>
      <c r="Q36" s="23"/>
      <c r="R36" s="23"/>
      <c r="S36" s="23"/>
      <c r="T36" s="23" t="s">
        <v>177</v>
      </c>
      <c r="U36" s="23"/>
      <c r="V36" s="23"/>
      <c r="W36" s="23"/>
      <c r="X36" s="23"/>
      <c r="Y36" s="23" t="s">
        <v>177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73"/>
      <c r="B37" s="212"/>
      <c r="C37" s="223"/>
      <c r="D37" s="163" t="s">
        <v>143</v>
      </c>
      <c r="E37" s="163"/>
      <c r="F37" s="163"/>
      <c r="G37" s="216"/>
      <c r="H37" s="22"/>
      <c r="I37" s="23"/>
      <c r="J37" s="23" t="s">
        <v>177</v>
      </c>
      <c r="K37" s="23"/>
      <c r="L37" s="23"/>
      <c r="M37" s="23"/>
      <c r="N37" s="23"/>
      <c r="O37" s="23"/>
      <c r="P37" s="23"/>
      <c r="Q37" s="23" t="s">
        <v>177</v>
      </c>
      <c r="R37" s="23" t="s">
        <v>177</v>
      </c>
      <c r="S37" s="23" t="s">
        <v>177</v>
      </c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73"/>
      <c r="B38" s="212"/>
      <c r="C38" s="223"/>
      <c r="D38" s="163" t="s">
        <v>116</v>
      </c>
      <c r="E38" s="163"/>
      <c r="F38" s="163"/>
      <c r="G38" s="216"/>
      <c r="H38" s="22"/>
      <c r="I38" s="23"/>
      <c r="J38" s="23"/>
      <c r="K38" s="23"/>
      <c r="L38" s="23"/>
      <c r="M38" s="23"/>
      <c r="N38" s="23" t="s">
        <v>177</v>
      </c>
      <c r="O38" s="23" t="s">
        <v>177</v>
      </c>
      <c r="P38" s="23"/>
      <c r="Q38" s="23"/>
      <c r="R38" s="23"/>
      <c r="S38" s="23"/>
      <c r="T38" s="23"/>
      <c r="U38" s="23" t="s">
        <v>177</v>
      </c>
      <c r="V38" s="23" t="s">
        <v>177</v>
      </c>
      <c r="W38" s="23" t="s">
        <v>177</v>
      </c>
      <c r="X38" s="23" t="s">
        <v>177</v>
      </c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173"/>
      <c r="B39" s="212"/>
      <c r="C39" s="224"/>
      <c r="D39" s="163" t="s">
        <v>50</v>
      </c>
      <c r="E39" s="163"/>
      <c r="F39" s="163"/>
      <c r="G39" s="216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 t="s">
        <v>177</v>
      </c>
      <c r="AC39" s="23" t="s">
        <v>177</v>
      </c>
      <c r="AD39" s="23" t="s">
        <v>177</v>
      </c>
      <c r="AE39" s="23"/>
      <c r="AF39" s="24"/>
    </row>
    <row r="40" spans="1:32" s="17" customFormat="1" ht="13.5" customHeight="1">
      <c r="A40" s="173"/>
      <c r="B40" s="212"/>
      <c r="C40" s="162" t="s">
        <v>147</v>
      </c>
      <c r="D40" s="163"/>
      <c r="E40" s="163"/>
      <c r="F40" s="163"/>
      <c r="G40" s="216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/>
    </row>
    <row r="41" spans="1:32" s="17" customFormat="1" ht="13.5" customHeight="1">
      <c r="A41" s="173"/>
      <c r="B41" s="212"/>
      <c r="C41" s="217"/>
      <c r="D41" s="163" t="s">
        <v>70</v>
      </c>
      <c r="E41" s="163"/>
      <c r="F41" s="163"/>
      <c r="G41" s="216"/>
      <c r="H41" s="22" t="s">
        <v>177</v>
      </c>
      <c r="I41" s="23" t="s">
        <v>177</v>
      </c>
      <c r="J41" s="23"/>
      <c r="K41" s="23" t="s">
        <v>177</v>
      </c>
      <c r="L41" s="23" t="s">
        <v>177</v>
      </c>
      <c r="M41" s="23" t="s">
        <v>177</v>
      </c>
      <c r="N41" s="23" t="s">
        <v>177</v>
      </c>
      <c r="O41" s="23" t="s">
        <v>177</v>
      </c>
      <c r="P41" s="23" t="s">
        <v>177</v>
      </c>
      <c r="Q41" s="23" t="s">
        <v>177</v>
      </c>
      <c r="R41" s="23" t="s">
        <v>177</v>
      </c>
      <c r="S41" s="23" t="s">
        <v>177</v>
      </c>
      <c r="T41" s="23" t="s">
        <v>177</v>
      </c>
      <c r="U41" s="23"/>
      <c r="V41" s="23"/>
      <c r="W41" s="23"/>
      <c r="X41" s="23"/>
      <c r="Y41" s="23" t="s">
        <v>177</v>
      </c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173"/>
      <c r="B42" s="212"/>
      <c r="C42" s="218"/>
      <c r="D42" s="163" t="s">
        <v>148</v>
      </c>
      <c r="E42" s="163"/>
      <c r="F42" s="163"/>
      <c r="G42" s="216"/>
      <c r="H42" s="22"/>
      <c r="I42" s="23"/>
      <c r="J42" s="23" t="s">
        <v>177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173"/>
      <c r="B43" s="212"/>
      <c r="C43" s="162" t="s">
        <v>144</v>
      </c>
      <c r="D43" s="163"/>
      <c r="E43" s="163"/>
      <c r="F43" s="163"/>
      <c r="G43" s="216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73"/>
      <c r="B44" s="212"/>
      <c r="C44" s="95"/>
      <c r="D44" s="163" t="s">
        <v>145</v>
      </c>
      <c r="E44" s="163"/>
      <c r="F44" s="163"/>
      <c r="G44" s="216"/>
      <c r="H44" s="23" t="s">
        <v>177</v>
      </c>
      <c r="I44" s="23" t="s">
        <v>177</v>
      </c>
      <c r="J44" s="23" t="s">
        <v>177</v>
      </c>
      <c r="K44" s="23" t="s">
        <v>177</v>
      </c>
      <c r="L44" s="23" t="s">
        <v>177</v>
      </c>
      <c r="M44" s="23" t="s">
        <v>177</v>
      </c>
      <c r="N44" s="23" t="s">
        <v>177</v>
      </c>
      <c r="O44" s="23" t="s">
        <v>177</v>
      </c>
      <c r="P44" s="23" t="s">
        <v>177</v>
      </c>
      <c r="Q44" s="23" t="s">
        <v>177</v>
      </c>
      <c r="R44" s="23" t="s">
        <v>177</v>
      </c>
      <c r="S44" s="23" t="s">
        <v>177</v>
      </c>
      <c r="T44" s="23" t="s">
        <v>177</v>
      </c>
      <c r="U44" s="23" t="s">
        <v>177</v>
      </c>
      <c r="V44" s="23" t="s">
        <v>177</v>
      </c>
      <c r="W44" s="23" t="s">
        <v>177</v>
      </c>
      <c r="X44" s="23" t="s">
        <v>177</v>
      </c>
      <c r="Y44" s="23" t="s">
        <v>177</v>
      </c>
      <c r="Z44" s="23" t="s">
        <v>177</v>
      </c>
      <c r="AA44" s="23" t="s">
        <v>177</v>
      </c>
      <c r="AB44" s="23" t="s">
        <v>177</v>
      </c>
      <c r="AC44" s="23" t="s">
        <v>177</v>
      </c>
      <c r="AD44" s="23" t="s">
        <v>177</v>
      </c>
      <c r="AE44" s="23"/>
      <c r="AF44" s="24"/>
    </row>
    <row r="45" spans="1:32" s="17" customFormat="1" ht="13.5" customHeight="1">
      <c r="A45" s="173"/>
      <c r="B45" s="212"/>
      <c r="C45" s="162" t="s">
        <v>135</v>
      </c>
      <c r="D45" s="163"/>
      <c r="E45" s="163"/>
      <c r="F45" s="163"/>
      <c r="G45" s="216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/>
    </row>
    <row r="46" spans="1:32" s="17" customFormat="1" ht="13.5" customHeight="1">
      <c r="A46" s="173"/>
      <c r="B46" s="212"/>
      <c r="C46" s="217"/>
      <c r="D46" s="163" t="s">
        <v>146</v>
      </c>
      <c r="E46" s="163"/>
      <c r="F46" s="163"/>
      <c r="G46" s="216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177</v>
      </c>
      <c r="AA46" s="23"/>
      <c r="AB46" s="23"/>
      <c r="AC46" s="23"/>
      <c r="AD46" s="23"/>
      <c r="AE46" s="23"/>
      <c r="AF46" s="24"/>
    </row>
    <row r="47" spans="1:32" s="17" customFormat="1" ht="13.5" customHeight="1">
      <c r="A47" s="173"/>
      <c r="B47" s="212"/>
      <c r="C47" s="218"/>
      <c r="D47" s="163" t="s">
        <v>80</v>
      </c>
      <c r="E47" s="163"/>
      <c r="F47" s="163"/>
      <c r="G47" s="216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177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173"/>
      <c r="B48" s="212"/>
      <c r="C48" s="162" t="s">
        <v>136</v>
      </c>
      <c r="D48" s="163"/>
      <c r="E48" s="163"/>
      <c r="F48" s="163"/>
      <c r="G48" s="163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4"/>
    </row>
    <row r="49" spans="1:32" s="17" customFormat="1" ht="13.5" customHeight="1">
      <c r="A49" s="173"/>
      <c r="B49" s="212"/>
      <c r="C49" s="95"/>
      <c r="D49" s="163" t="s">
        <v>146</v>
      </c>
      <c r="E49" s="163"/>
      <c r="F49" s="163"/>
      <c r="G49" s="216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 t="s">
        <v>177</v>
      </c>
      <c r="AB49" s="23"/>
      <c r="AC49" s="23"/>
      <c r="AD49" s="23"/>
      <c r="AE49" s="23"/>
      <c r="AF49" s="24"/>
    </row>
    <row r="50" spans="1:32" s="17" customFormat="1" ht="13.5" customHeight="1" thickBot="1">
      <c r="A50" s="173"/>
      <c r="B50" s="212"/>
      <c r="C50" s="162" t="s">
        <v>121</v>
      </c>
      <c r="D50" s="163"/>
      <c r="E50" s="163"/>
      <c r="F50" s="163"/>
      <c r="G50" s="216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177</v>
      </c>
      <c r="AF50" s="24"/>
    </row>
    <row r="51" spans="1:32" s="17" customFormat="1" ht="24" customHeight="1">
      <c r="A51" s="164" t="s">
        <v>94</v>
      </c>
      <c r="B51" s="166"/>
      <c r="C51" s="167"/>
      <c r="D51" s="214"/>
      <c r="E51" s="214"/>
      <c r="F51" s="215"/>
      <c r="G51" s="39" t="s">
        <v>95</v>
      </c>
      <c r="H51" s="36" t="s">
        <v>51</v>
      </c>
      <c r="I51" s="37" t="s">
        <v>52</v>
      </c>
      <c r="J51" s="37" t="s">
        <v>52</v>
      </c>
      <c r="K51" s="37" t="s">
        <v>52</v>
      </c>
      <c r="L51" s="37" t="s">
        <v>52</v>
      </c>
      <c r="M51" s="37" t="s">
        <v>52</v>
      </c>
      <c r="N51" s="37" t="s">
        <v>51</v>
      </c>
      <c r="O51" s="37" t="s">
        <v>51</v>
      </c>
      <c r="P51" s="37" t="s">
        <v>52</v>
      </c>
      <c r="Q51" s="37" t="s">
        <v>51</v>
      </c>
      <c r="R51" s="37" t="s">
        <v>51</v>
      </c>
      <c r="S51" s="37" t="s">
        <v>51</v>
      </c>
      <c r="T51" s="37" t="s">
        <v>52</v>
      </c>
      <c r="U51" s="37" t="s">
        <v>51</v>
      </c>
      <c r="V51" s="37" t="s">
        <v>51</v>
      </c>
      <c r="W51" s="37" t="s">
        <v>51</v>
      </c>
      <c r="X51" s="37" t="s">
        <v>51</v>
      </c>
      <c r="Y51" s="37" t="s">
        <v>52</v>
      </c>
      <c r="Z51" s="37" t="s">
        <v>52</v>
      </c>
      <c r="AA51" s="37" t="s">
        <v>52</v>
      </c>
      <c r="AB51" s="37" t="s">
        <v>52</v>
      </c>
      <c r="AC51" s="37" t="s">
        <v>52</v>
      </c>
      <c r="AD51" s="37" t="s">
        <v>52</v>
      </c>
      <c r="AE51" s="37" t="s">
        <v>53</v>
      </c>
      <c r="AF51" s="38"/>
    </row>
    <row r="52" spans="1:32" s="17" customFormat="1" ht="27" customHeight="1">
      <c r="A52" s="165"/>
      <c r="B52" s="169"/>
      <c r="C52" s="170"/>
      <c r="D52" s="170"/>
      <c r="E52" s="170"/>
      <c r="F52" s="171"/>
      <c r="G52" s="39" t="s">
        <v>96</v>
      </c>
      <c r="H52" s="40" t="s">
        <v>179</v>
      </c>
      <c r="I52" s="40" t="s">
        <v>179</v>
      </c>
      <c r="J52" s="40" t="s">
        <v>179</v>
      </c>
      <c r="K52" s="40" t="s">
        <v>179</v>
      </c>
      <c r="L52" s="40" t="s">
        <v>179</v>
      </c>
      <c r="M52" s="40" t="s">
        <v>179</v>
      </c>
      <c r="N52" s="40" t="s">
        <v>179</v>
      </c>
      <c r="O52" s="40" t="s">
        <v>179</v>
      </c>
      <c r="P52" s="40" t="s">
        <v>179</v>
      </c>
      <c r="Q52" s="40" t="s">
        <v>179</v>
      </c>
      <c r="R52" s="40" t="s">
        <v>179</v>
      </c>
      <c r="S52" s="40" t="s">
        <v>179</v>
      </c>
      <c r="T52" s="40" t="s">
        <v>179</v>
      </c>
      <c r="U52" s="40" t="s">
        <v>179</v>
      </c>
      <c r="V52" s="40" t="s">
        <v>179</v>
      </c>
      <c r="W52" s="40" t="s">
        <v>179</v>
      </c>
      <c r="X52" s="40" t="s">
        <v>179</v>
      </c>
      <c r="Y52" s="40" t="s">
        <v>179</v>
      </c>
      <c r="Z52" s="40" t="s">
        <v>179</v>
      </c>
      <c r="AA52" s="40" t="s">
        <v>179</v>
      </c>
      <c r="AB52" s="40" t="s">
        <v>179</v>
      </c>
      <c r="AC52" s="40" t="s">
        <v>179</v>
      </c>
      <c r="AD52" s="40" t="s">
        <v>179</v>
      </c>
      <c r="AE52" s="40" t="s">
        <v>179</v>
      </c>
      <c r="AF52" s="42"/>
    </row>
    <row r="53" spans="1:32" s="17" customFormat="1" ht="27" customHeight="1">
      <c r="A53" s="165"/>
      <c r="B53" s="169"/>
      <c r="C53" s="170"/>
      <c r="D53" s="170"/>
      <c r="E53" s="170"/>
      <c r="F53" s="171"/>
      <c r="G53" s="39" t="s">
        <v>97</v>
      </c>
      <c r="H53" s="43">
        <v>43703</v>
      </c>
      <c r="I53" s="43">
        <v>43703</v>
      </c>
      <c r="J53" s="43">
        <v>43703</v>
      </c>
      <c r="K53" s="43">
        <v>43703</v>
      </c>
      <c r="L53" s="43">
        <v>43703</v>
      </c>
      <c r="M53" s="43">
        <v>43703</v>
      </c>
      <c r="N53" s="43">
        <v>43703</v>
      </c>
      <c r="O53" s="43">
        <v>43703</v>
      </c>
      <c r="P53" s="43">
        <v>43703</v>
      </c>
      <c r="Q53" s="43">
        <v>43703</v>
      </c>
      <c r="R53" s="43">
        <v>43703</v>
      </c>
      <c r="S53" s="43">
        <v>43703</v>
      </c>
      <c r="T53" s="43">
        <v>43703</v>
      </c>
      <c r="U53" s="43">
        <v>43703</v>
      </c>
      <c r="V53" s="43">
        <v>43703</v>
      </c>
      <c r="W53" s="43">
        <v>43703</v>
      </c>
      <c r="X53" s="43">
        <v>43703</v>
      </c>
      <c r="Y53" s="43">
        <v>43703</v>
      </c>
      <c r="Z53" s="43">
        <v>43703</v>
      </c>
      <c r="AA53" s="43">
        <v>43703</v>
      </c>
      <c r="AB53" s="43">
        <v>43703</v>
      </c>
      <c r="AC53" s="43">
        <v>43703</v>
      </c>
      <c r="AD53" s="43">
        <v>43703</v>
      </c>
      <c r="AE53" s="43">
        <v>43703</v>
      </c>
      <c r="AF53" s="45"/>
    </row>
    <row r="54" spans="1:32" s="17" customFormat="1" ht="24.75" customHeight="1">
      <c r="A54" s="165"/>
      <c r="B54" s="169"/>
      <c r="C54" s="170"/>
      <c r="D54" s="170"/>
      <c r="E54" s="170"/>
      <c r="F54" s="171"/>
      <c r="G54" s="93" t="s">
        <v>98</v>
      </c>
      <c r="H54" s="40" t="s">
        <v>162</v>
      </c>
      <c r="I54" s="40" t="s">
        <v>162</v>
      </c>
      <c r="J54" s="40" t="s">
        <v>162</v>
      </c>
      <c r="K54" s="40" t="s">
        <v>162</v>
      </c>
      <c r="L54" s="40" t="s">
        <v>162</v>
      </c>
      <c r="M54" s="40" t="s">
        <v>162</v>
      </c>
      <c r="N54" s="40" t="s">
        <v>162</v>
      </c>
      <c r="O54" s="40" t="s">
        <v>162</v>
      </c>
      <c r="P54" s="40" t="s">
        <v>162</v>
      </c>
      <c r="Q54" s="40" t="s">
        <v>162</v>
      </c>
      <c r="R54" s="40" t="s">
        <v>162</v>
      </c>
      <c r="S54" s="40" t="s">
        <v>162</v>
      </c>
      <c r="T54" s="40" t="s">
        <v>162</v>
      </c>
      <c r="U54" s="40" t="s">
        <v>162</v>
      </c>
      <c r="V54" s="40" t="s">
        <v>162</v>
      </c>
      <c r="W54" s="40" t="s">
        <v>162</v>
      </c>
      <c r="X54" s="40" t="s">
        <v>162</v>
      </c>
      <c r="Y54" s="40" t="s">
        <v>162</v>
      </c>
      <c r="Z54" s="40" t="s">
        <v>162</v>
      </c>
      <c r="AA54" s="40" t="s">
        <v>162</v>
      </c>
      <c r="AB54" s="40" t="s">
        <v>162</v>
      </c>
      <c r="AC54" s="40" t="s">
        <v>162</v>
      </c>
      <c r="AD54" s="40" t="s">
        <v>162</v>
      </c>
      <c r="AE54" s="40" t="s">
        <v>162</v>
      </c>
      <c r="AF54" s="42"/>
    </row>
    <row r="55" spans="1:32" s="17" customFormat="1" ht="24.75" customHeight="1">
      <c r="A55" s="204" t="s">
        <v>99</v>
      </c>
      <c r="B55" s="206" t="s">
        <v>100</v>
      </c>
      <c r="C55" s="206"/>
      <c r="D55" s="206"/>
      <c r="E55" s="206"/>
      <c r="F55" s="207"/>
      <c r="G55" s="208"/>
      <c r="H55" s="60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54"/>
    </row>
    <row r="56" spans="1:32" s="17" customFormat="1" ht="36" customHeight="1" thickBot="1">
      <c r="A56" s="205"/>
      <c r="B56" s="192" t="s">
        <v>101</v>
      </c>
      <c r="C56" s="193"/>
      <c r="D56" s="193"/>
      <c r="E56" s="194"/>
      <c r="F56" s="192"/>
      <c r="G56" s="209"/>
      <c r="H56" s="61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 t="str">
        <f t="shared" ref="S56:AF56" si="1">IF(S55="","",(SUM(LEN(S55)-LEN(SUBSTITUTE(S55,",","")))/LEN(",")) + 1 )</f>
        <v/>
      </c>
      <c r="T56" s="55" t="str">
        <f t="shared" si="1"/>
        <v/>
      </c>
      <c r="U56" s="55" t="str">
        <f t="shared" si="1"/>
        <v/>
      </c>
      <c r="V56" s="55" t="str">
        <f t="shared" si="1"/>
        <v/>
      </c>
      <c r="W56" s="55" t="str">
        <f t="shared" si="1"/>
        <v/>
      </c>
      <c r="X56" s="55" t="str">
        <f t="shared" si="1"/>
        <v/>
      </c>
      <c r="Y56" s="55" t="str">
        <f t="shared" si="1"/>
        <v/>
      </c>
      <c r="Z56" s="55" t="str">
        <f t="shared" si="1"/>
        <v/>
      </c>
      <c r="AA56" s="55" t="str">
        <f t="shared" si="1"/>
        <v/>
      </c>
      <c r="AB56" s="55" t="str">
        <f t="shared" si="1"/>
        <v/>
      </c>
      <c r="AC56" s="55" t="str">
        <f t="shared" si="1"/>
        <v/>
      </c>
      <c r="AD56" s="55" t="str">
        <f t="shared" si="1"/>
        <v/>
      </c>
      <c r="AE56" s="55" t="str">
        <f t="shared" si="1"/>
        <v/>
      </c>
      <c r="AF56" s="56" t="str">
        <f t="shared" si="1"/>
        <v/>
      </c>
    </row>
    <row r="57" spans="1:32" s="17" customFormat="1">
      <c r="H57" s="47"/>
      <c r="I57" s="47"/>
      <c r="J57" s="47"/>
      <c r="K57" s="47"/>
      <c r="L57" s="47"/>
      <c r="M57" s="47"/>
      <c r="N57" s="48"/>
      <c r="O57" s="49"/>
      <c r="P57" s="47"/>
      <c r="Q57" s="47"/>
      <c r="R57" s="47"/>
      <c r="S57" s="47"/>
      <c r="T57" s="47"/>
      <c r="U57" s="47"/>
      <c r="V57" s="47"/>
    </row>
  </sheetData>
  <sheetProtection insertRows="0"/>
  <protectedRanges>
    <protectedRange sqref="H51:AF51 H55:AF55 AF52:AF54" name="Range3_1_1"/>
    <protectedRange sqref="H4:AF50" name="Range2_1_1"/>
    <protectedRange sqref="B4:G32" name="Range2_1_2"/>
    <protectedRange sqref="C45:G47 B45:B50 B33:G44" name="Range2_1_3"/>
    <protectedRange sqref="C48:G49" name="Range2_1_8"/>
    <protectedRange sqref="C50:G50" name="Range2_1_8_1"/>
    <protectedRange sqref="B1:O1 P2 T1 AC1:AF1 B2:E2" name="Range1_1_1"/>
    <protectedRange sqref="P2 AC2:AF2" name="Range1_1_1_1"/>
    <protectedRange sqref="H52:AE54" name="Range3_1_1_1"/>
  </protectedRanges>
  <mergeCells count="80">
    <mergeCell ref="D42:G42"/>
    <mergeCell ref="C41:C42"/>
    <mergeCell ref="B6:B32"/>
    <mergeCell ref="C7:G7"/>
    <mergeCell ref="C6:G6"/>
    <mergeCell ref="C30:C31"/>
    <mergeCell ref="D30:G30"/>
    <mergeCell ref="D31:G31"/>
    <mergeCell ref="C32:G32"/>
    <mergeCell ref="D25:G25"/>
    <mergeCell ref="D26:G26"/>
    <mergeCell ref="C27:G27"/>
    <mergeCell ref="C28:G28"/>
    <mergeCell ref="C29:G29"/>
    <mergeCell ref="D13:G13"/>
    <mergeCell ref="D14:G14"/>
    <mergeCell ref="C15:G15"/>
    <mergeCell ref="B34:B50"/>
    <mergeCell ref="D36:G36"/>
    <mergeCell ref="D37:G37"/>
    <mergeCell ref="D38:G38"/>
    <mergeCell ref="C43:G43"/>
    <mergeCell ref="D44:G44"/>
    <mergeCell ref="D39:G39"/>
    <mergeCell ref="D47:G47"/>
    <mergeCell ref="C48:G48"/>
    <mergeCell ref="D49:G49"/>
    <mergeCell ref="C50:G50"/>
    <mergeCell ref="C35:C39"/>
    <mergeCell ref="D35:G35"/>
    <mergeCell ref="C40:G40"/>
    <mergeCell ref="D41:G41"/>
    <mergeCell ref="A33:A50"/>
    <mergeCell ref="B33:G33"/>
    <mergeCell ref="C34:G34"/>
    <mergeCell ref="C9:G9"/>
    <mergeCell ref="C10:G10"/>
    <mergeCell ref="C11:G11"/>
    <mergeCell ref="C45:G45"/>
    <mergeCell ref="C46:C47"/>
    <mergeCell ref="D46:G46"/>
    <mergeCell ref="A4:A32"/>
    <mergeCell ref="B4:G4"/>
    <mergeCell ref="B5:G5"/>
    <mergeCell ref="C8:G8"/>
    <mergeCell ref="C20:G20"/>
    <mergeCell ref="C12:G12"/>
    <mergeCell ref="C13:C14"/>
    <mergeCell ref="AA2:AB2"/>
    <mergeCell ref="AA1:AB1"/>
    <mergeCell ref="AC1:AF1"/>
    <mergeCell ref="AC2:AF2"/>
    <mergeCell ref="T1:Z1"/>
    <mergeCell ref="B1:E1"/>
    <mergeCell ref="F1:O1"/>
    <mergeCell ref="B2:E2"/>
    <mergeCell ref="I2:O2"/>
    <mergeCell ref="P1:S1"/>
    <mergeCell ref="F2:H2"/>
    <mergeCell ref="P2:Z2"/>
    <mergeCell ref="A51:A54"/>
    <mergeCell ref="B51:F51"/>
    <mergeCell ref="B52:F52"/>
    <mergeCell ref="B53:F53"/>
    <mergeCell ref="A55:A56"/>
    <mergeCell ref="B55:E55"/>
    <mergeCell ref="F55:G55"/>
    <mergeCell ref="B56:E56"/>
    <mergeCell ref="F56:G56"/>
    <mergeCell ref="B54:F54"/>
    <mergeCell ref="C16:G16"/>
    <mergeCell ref="C17:C19"/>
    <mergeCell ref="D17:G17"/>
    <mergeCell ref="D18:G18"/>
    <mergeCell ref="D19:G19"/>
    <mergeCell ref="C21:G21"/>
    <mergeCell ref="C22:C26"/>
    <mergeCell ref="D22:G22"/>
    <mergeCell ref="D23:G23"/>
    <mergeCell ref="D24:G24"/>
  </mergeCells>
  <phoneticPr fontId="3"/>
  <conditionalFormatting sqref="H52:AE54">
    <cfRule type="expression" dxfId="18" priority="1" stopIfTrue="1">
      <formula>H$94="NA"</formula>
    </cfRule>
    <cfRule type="expression" dxfId="17" priority="2" stopIfTrue="1">
      <formula>H$94="NG"</formula>
    </cfRule>
  </conditionalFormatting>
  <conditionalFormatting sqref="H3:AF56">
    <cfRule type="expression" dxfId="16" priority="23" stopIfTrue="1">
      <formula>H$54="NA"</formula>
    </cfRule>
    <cfRule type="expression" dxfId="15" priority="24" stopIfTrue="1">
      <formula>H$54="NG"</formula>
    </cfRule>
  </conditionalFormatting>
  <dataValidations count="10">
    <dataValidation type="list" allowBlank="1" showInputMessage="1" showErrorMessage="1" sqref="H51:AF51">
      <formula1>"N, A, B"</formula1>
    </dataValidation>
    <dataValidation type="list" allowBlank="1" showInputMessage="1" showErrorMessage="1" sqref="H54:AF54">
      <formula1>"OK, NG, NA, PT"</formula1>
    </dataValidation>
    <dataValidation allowBlank="1" showInputMessage="1" showErrorMessage="1" promptTitle="PCL sheet name" prompt=" " sqref="F55:G55"/>
    <dataValidation allowBlank="1" showInputMessage="1" showErrorMessage="1" promptTitle="Bug ID" prompt="Unique ID throughout the project._x000a_For every Bug found during Test as well as Re-Test, a new Bug ID needs to be entered here (as a comma seperated value)" sqref="B55:E5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4"/>
    <dataValidation allowBlank="1" showInputMessage="1" showErrorMessage="1" promptTitle="Testing Date" prompt="Date on which test was performed in yyyy/mm/dd format" sqref="G53"/>
    <dataValidation allowBlank="1" showInputMessage="1" showErrorMessage="1" promptTitle="Enter" prompt="Name of the person who performed the test" sqref="G52"/>
    <dataValidation allowBlank="1" showInputMessage="1" showErrorMessage="1" promptTitle="Condition Type" prompt="N : Normal _x000a_A : Abnormal _x000a_B : Boundary" sqref="G51"/>
    <dataValidation allowBlank="1" showInputMessage="1" showErrorMessage="1" promptTitle="Check points" prompt="that need / need not be executed" sqref="A33:A50"/>
    <dataValidation allowBlank="1" showInputMessage="1" showErrorMessage="1" promptTitle="Input conditions" prompt="that need to be checked." sqref="A4:A3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85" activePane="bottomRight" state="frozen"/>
      <selection activeCell="A5" sqref="A5"/>
      <selection pane="topRight" activeCell="A5" sqref="A5"/>
      <selection pane="bottomLeft" activeCell="A5" sqref="A5"/>
      <selection pane="bottomRight" activeCell="T81" sqref="T8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204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170</v>
      </c>
      <c r="C2" s="190"/>
      <c r="D2" s="190"/>
      <c r="E2" s="191"/>
      <c r="F2" s="189" t="s">
        <v>172</v>
      </c>
      <c r="G2" s="190"/>
      <c r="H2" s="191"/>
      <c r="I2" s="192" t="s">
        <v>54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128</v>
      </c>
      <c r="AB2" s="202"/>
      <c r="AC2" s="189" t="s">
        <v>111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66</v>
      </c>
      <c r="B4" s="259" t="s">
        <v>114</v>
      </c>
      <c r="C4" s="260"/>
      <c r="D4" s="260"/>
      <c r="E4" s="260"/>
      <c r="F4" s="260"/>
      <c r="G4" s="26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210" t="s">
        <v>54</v>
      </c>
      <c r="C5" s="262"/>
      <c r="D5" s="262"/>
      <c r="E5" s="262"/>
      <c r="F5" s="262"/>
      <c r="G5" s="263"/>
      <c r="H5" s="18" t="s">
        <v>178</v>
      </c>
      <c r="I5" s="98" t="s">
        <v>178</v>
      </c>
      <c r="J5" s="98" t="s">
        <v>178</v>
      </c>
      <c r="K5" s="98" t="s">
        <v>178</v>
      </c>
      <c r="L5" s="98" t="s">
        <v>178</v>
      </c>
      <c r="M5" s="98" t="s">
        <v>178</v>
      </c>
      <c r="N5" s="98" t="s">
        <v>178</v>
      </c>
      <c r="O5" s="98" t="s">
        <v>178</v>
      </c>
      <c r="P5" s="98" t="s">
        <v>178</v>
      </c>
      <c r="Q5" s="98" t="s">
        <v>178</v>
      </c>
      <c r="R5" s="98" t="s">
        <v>178</v>
      </c>
      <c r="S5" s="98" t="s">
        <v>178</v>
      </c>
      <c r="T5" s="98" t="s">
        <v>178</v>
      </c>
      <c r="U5" s="98" t="s">
        <v>178</v>
      </c>
      <c r="V5" s="98" t="s">
        <v>178</v>
      </c>
      <c r="W5" s="98" t="s">
        <v>178</v>
      </c>
      <c r="X5" s="98" t="s">
        <v>178</v>
      </c>
      <c r="Y5" s="98" t="s">
        <v>178</v>
      </c>
      <c r="Z5" s="98" t="s">
        <v>178</v>
      </c>
      <c r="AA5" s="98" t="s">
        <v>178</v>
      </c>
      <c r="AB5" s="98" t="s">
        <v>178</v>
      </c>
      <c r="AC5" s="98" t="s">
        <v>178</v>
      </c>
      <c r="AD5" s="90"/>
      <c r="AE5" s="90"/>
      <c r="AF5" s="90"/>
    </row>
    <row r="6" spans="1:32" s="17" customFormat="1" ht="13.5" customHeight="1">
      <c r="A6" s="179"/>
      <c r="B6" s="236"/>
      <c r="C6" s="210" t="s">
        <v>198</v>
      </c>
      <c r="D6" s="210"/>
      <c r="E6" s="210"/>
      <c r="F6" s="210"/>
      <c r="G6" s="180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9"/>
      <c r="B7" s="184"/>
      <c r="C7" s="184"/>
      <c r="D7" s="236"/>
      <c r="E7" s="210" t="s">
        <v>70</v>
      </c>
      <c r="F7" s="210"/>
      <c r="G7" s="180"/>
      <c r="H7" s="18" t="s">
        <v>178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9"/>
      <c r="B8" s="184"/>
      <c r="C8" s="184"/>
      <c r="D8" s="184"/>
      <c r="E8" s="210" t="s">
        <v>181</v>
      </c>
      <c r="F8" s="210"/>
      <c r="G8" s="180"/>
      <c r="H8" s="18"/>
      <c r="I8" s="98" t="s">
        <v>178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79"/>
      <c r="B9" s="184"/>
      <c r="C9" s="237"/>
      <c r="D9" s="237"/>
      <c r="E9" s="180" t="s">
        <v>182</v>
      </c>
      <c r="F9" s="183"/>
      <c r="G9" s="221"/>
      <c r="H9" s="18"/>
      <c r="I9" s="90"/>
      <c r="J9" s="98" t="s">
        <v>178</v>
      </c>
      <c r="K9" s="98" t="s">
        <v>178</v>
      </c>
      <c r="L9" s="98" t="s">
        <v>178</v>
      </c>
      <c r="M9" s="98" t="s">
        <v>178</v>
      </c>
      <c r="N9" s="98" t="s">
        <v>178</v>
      </c>
      <c r="O9" s="98" t="s">
        <v>178</v>
      </c>
      <c r="P9" s="98" t="s">
        <v>178</v>
      </c>
      <c r="Q9" s="98" t="s">
        <v>178</v>
      </c>
      <c r="R9" s="98" t="s">
        <v>178</v>
      </c>
      <c r="S9" s="98" t="s">
        <v>178</v>
      </c>
      <c r="T9" s="98" t="s">
        <v>178</v>
      </c>
      <c r="U9" s="98" t="s">
        <v>178</v>
      </c>
      <c r="V9" s="98" t="s">
        <v>178</v>
      </c>
      <c r="W9" s="98" t="s">
        <v>178</v>
      </c>
      <c r="X9" s="98" t="s">
        <v>178</v>
      </c>
      <c r="Y9" s="98" t="s">
        <v>178</v>
      </c>
      <c r="Z9" s="98" t="s">
        <v>178</v>
      </c>
      <c r="AA9" s="98" t="s">
        <v>178</v>
      </c>
      <c r="AB9" s="98" t="s">
        <v>178</v>
      </c>
      <c r="AC9" s="90"/>
      <c r="AD9" s="90"/>
      <c r="AE9" s="90"/>
      <c r="AF9" s="90"/>
    </row>
    <row r="10" spans="1:32" s="17" customFormat="1" ht="13.5" customHeight="1">
      <c r="A10" s="179"/>
      <c r="B10" s="184"/>
      <c r="C10" s="180" t="s">
        <v>73</v>
      </c>
      <c r="D10" s="183"/>
      <c r="E10" s="183"/>
      <c r="F10" s="183"/>
      <c r="G10" s="221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79"/>
      <c r="B11" s="184"/>
      <c r="C11" s="184"/>
      <c r="D11" s="236"/>
      <c r="E11" s="210" t="s">
        <v>70</v>
      </c>
      <c r="F11" s="210"/>
      <c r="G11" s="180"/>
      <c r="H11" s="18" t="s">
        <v>178</v>
      </c>
      <c r="I11" s="98" t="s">
        <v>178</v>
      </c>
      <c r="J11" s="98" t="s">
        <v>178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79"/>
      <c r="B12" s="184"/>
      <c r="C12" s="184"/>
      <c r="D12" s="184"/>
      <c r="E12" s="210" t="s">
        <v>183</v>
      </c>
      <c r="F12" s="210"/>
      <c r="G12" s="180"/>
      <c r="H12" s="18"/>
      <c r="I12" s="90"/>
      <c r="J12" s="90"/>
      <c r="K12" s="98" t="s">
        <v>178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79"/>
      <c r="B13" s="184"/>
      <c r="C13" s="184"/>
      <c r="D13" s="184"/>
      <c r="E13" s="241">
        <v>1234</v>
      </c>
      <c r="F13" s="242"/>
      <c r="G13" s="243"/>
      <c r="H13" s="18"/>
      <c r="I13" s="90"/>
      <c r="J13" s="90"/>
      <c r="K13" s="90"/>
      <c r="L13" s="98" t="s">
        <v>178</v>
      </c>
      <c r="M13" s="90" t="s">
        <v>58</v>
      </c>
      <c r="N13" s="90" t="s">
        <v>58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79"/>
      <c r="B14" s="184"/>
      <c r="C14" s="237"/>
      <c r="D14" s="237"/>
      <c r="E14" s="244" t="s">
        <v>184</v>
      </c>
      <c r="F14" s="210"/>
      <c r="G14" s="180"/>
      <c r="H14" s="18"/>
      <c r="I14" s="90"/>
      <c r="J14" s="90"/>
      <c r="K14" s="90"/>
      <c r="L14" s="90"/>
      <c r="M14" s="98" t="s">
        <v>177</v>
      </c>
      <c r="N14" s="98" t="s">
        <v>177</v>
      </c>
      <c r="O14" s="98" t="s">
        <v>177</v>
      </c>
      <c r="P14" s="98" t="s">
        <v>177</v>
      </c>
      <c r="Q14" s="98" t="s">
        <v>177</v>
      </c>
      <c r="R14" s="98" t="s">
        <v>177</v>
      </c>
      <c r="S14" s="98" t="s">
        <v>177</v>
      </c>
      <c r="T14" s="98" t="s">
        <v>177</v>
      </c>
      <c r="U14" s="98" t="s">
        <v>177</v>
      </c>
      <c r="V14" s="98" t="s">
        <v>177</v>
      </c>
      <c r="W14" s="98" t="s">
        <v>177</v>
      </c>
      <c r="X14" s="98" t="s">
        <v>177</v>
      </c>
      <c r="Y14" s="98" t="s">
        <v>177</v>
      </c>
      <c r="Z14" s="98" t="s">
        <v>177</v>
      </c>
      <c r="AA14" s="98" t="s">
        <v>177</v>
      </c>
      <c r="AB14" s="98" t="s">
        <v>178</v>
      </c>
      <c r="AC14" s="90"/>
      <c r="AD14" s="90"/>
      <c r="AE14" s="90"/>
      <c r="AF14" s="90"/>
    </row>
    <row r="15" spans="1:32" s="17" customFormat="1" ht="13.5" customHeight="1">
      <c r="A15" s="179"/>
      <c r="B15" s="184"/>
      <c r="C15" s="210" t="s">
        <v>67</v>
      </c>
      <c r="D15" s="210"/>
      <c r="E15" s="210"/>
      <c r="F15" s="210"/>
      <c r="G15" s="180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79"/>
      <c r="B16" s="184"/>
      <c r="C16" s="212"/>
      <c r="D16" s="180" t="s">
        <v>157</v>
      </c>
      <c r="E16" s="183"/>
      <c r="F16" s="183"/>
      <c r="G16" s="221"/>
      <c r="H16" s="18" t="s">
        <v>178</v>
      </c>
      <c r="I16" s="98" t="s">
        <v>178</v>
      </c>
      <c r="J16" s="98" t="s">
        <v>178</v>
      </c>
      <c r="K16" s="98" t="s">
        <v>178</v>
      </c>
      <c r="L16" s="98" t="s">
        <v>178</v>
      </c>
      <c r="M16" s="98" t="s">
        <v>178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8" t="s">
        <v>178</v>
      </c>
      <c r="AB16" s="98" t="s">
        <v>178</v>
      </c>
      <c r="AC16" s="90"/>
      <c r="AD16" s="90"/>
      <c r="AE16" s="90"/>
      <c r="AF16" s="20"/>
    </row>
    <row r="17" spans="1:32" s="17" customFormat="1" ht="13.5" customHeight="1">
      <c r="A17" s="179"/>
      <c r="B17" s="184"/>
      <c r="C17" s="212"/>
      <c r="D17" s="210" t="s">
        <v>68</v>
      </c>
      <c r="E17" s="210"/>
      <c r="F17" s="210"/>
      <c r="G17" s="180"/>
      <c r="H17" s="18"/>
      <c r="I17" s="90"/>
      <c r="J17" s="90"/>
      <c r="K17" s="90"/>
      <c r="L17" s="90"/>
      <c r="M17" s="90"/>
      <c r="N17" s="98" t="s">
        <v>178</v>
      </c>
      <c r="O17" s="98" t="s">
        <v>178</v>
      </c>
      <c r="P17" s="98" t="s">
        <v>178</v>
      </c>
      <c r="Q17" s="98" t="s">
        <v>178</v>
      </c>
      <c r="R17" s="98" t="s">
        <v>178</v>
      </c>
      <c r="S17" s="98" t="s">
        <v>178</v>
      </c>
      <c r="T17" s="98" t="s">
        <v>178</v>
      </c>
      <c r="U17" s="98" t="s">
        <v>178</v>
      </c>
      <c r="V17" s="98" t="s">
        <v>178</v>
      </c>
      <c r="W17" s="98" t="s">
        <v>178</v>
      </c>
      <c r="X17" s="98" t="s">
        <v>178</v>
      </c>
      <c r="Y17" s="98" t="s">
        <v>178</v>
      </c>
      <c r="Z17" s="98" t="s">
        <v>178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79"/>
      <c r="B18" s="184"/>
      <c r="C18" s="210" t="s">
        <v>69</v>
      </c>
      <c r="D18" s="210"/>
      <c r="E18" s="210"/>
      <c r="F18" s="210"/>
      <c r="G18" s="180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79"/>
      <c r="B19" s="184"/>
      <c r="C19" s="212"/>
      <c r="D19" s="246"/>
      <c r="E19" s="245" t="s">
        <v>70</v>
      </c>
      <c r="F19" s="245"/>
      <c r="G19" s="241"/>
      <c r="H19" s="18" t="s">
        <v>178</v>
      </c>
      <c r="I19" s="98" t="s">
        <v>178</v>
      </c>
      <c r="J19" s="98" t="s">
        <v>178</v>
      </c>
      <c r="K19" s="98" t="s">
        <v>178</v>
      </c>
      <c r="L19" s="98" t="s">
        <v>178</v>
      </c>
      <c r="M19" s="98" t="s">
        <v>178</v>
      </c>
      <c r="N19" s="98" t="s">
        <v>178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79"/>
      <c r="B20" s="184"/>
      <c r="C20" s="212"/>
      <c r="D20" s="247"/>
      <c r="E20" s="210" t="s">
        <v>185</v>
      </c>
      <c r="F20" s="210"/>
      <c r="G20" s="180"/>
      <c r="H20" s="18"/>
      <c r="I20" s="90"/>
      <c r="J20" s="90"/>
      <c r="K20" s="90"/>
      <c r="L20" s="90"/>
      <c r="M20" s="90"/>
      <c r="N20" s="90"/>
      <c r="O20" s="98" t="s">
        <v>178</v>
      </c>
      <c r="P20" s="98" t="s">
        <v>178</v>
      </c>
      <c r="Q20" s="98" t="s">
        <v>178</v>
      </c>
      <c r="R20" s="98" t="s">
        <v>178</v>
      </c>
      <c r="S20" s="98" t="s">
        <v>178</v>
      </c>
      <c r="T20" s="98" t="s">
        <v>178</v>
      </c>
      <c r="U20" s="98" t="s">
        <v>178</v>
      </c>
      <c r="V20" s="98" t="s">
        <v>178</v>
      </c>
      <c r="W20" s="98" t="s">
        <v>178</v>
      </c>
      <c r="X20" s="98" t="s">
        <v>178</v>
      </c>
      <c r="Y20" s="98" t="s">
        <v>178</v>
      </c>
      <c r="Z20" s="98" t="s">
        <v>178</v>
      </c>
      <c r="AA20" s="98" t="s">
        <v>178</v>
      </c>
      <c r="AB20" s="98" t="s">
        <v>178</v>
      </c>
      <c r="AC20" s="90"/>
      <c r="AD20" s="90"/>
      <c r="AE20" s="90"/>
      <c r="AF20" s="90"/>
    </row>
    <row r="21" spans="1:32" s="17" customFormat="1" ht="13.5" customHeight="1">
      <c r="A21" s="179"/>
      <c r="B21" s="184"/>
      <c r="C21" s="210" t="s">
        <v>71</v>
      </c>
      <c r="D21" s="210"/>
      <c r="E21" s="210"/>
      <c r="F21" s="210"/>
      <c r="G21" s="180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79"/>
      <c r="B22" s="184"/>
      <c r="C22" s="212"/>
      <c r="D22" s="206"/>
      <c r="E22" s="245" t="s">
        <v>70</v>
      </c>
      <c r="F22" s="245"/>
      <c r="G22" s="241"/>
      <c r="H22" s="18" t="s">
        <v>178</v>
      </c>
      <c r="I22" s="98" t="s">
        <v>178</v>
      </c>
      <c r="J22" s="98" t="s">
        <v>178</v>
      </c>
      <c r="K22" s="98" t="s">
        <v>178</v>
      </c>
      <c r="L22" s="98" t="s">
        <v>178</v>
      </c>
      <c r="M22" s="98" t="s">
        <v>178</v>
      </c>
      <c r="N22" s="98" t="s">
        <v>178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8" t="s">
        <v>178</v>
      </c>
      <c r="AB22" s="90"/>
      <c r="AC22" s="90"/>
      <c r="AD22" s="90"/>
      <c r="AE22" s="90"/>
      <c r="AF22" s="20"/>
    </row>
    <row r="23" spans="1:32" s="17" customFormat="1" ht="13.5" customHeight="1">
      <c r="A23" s="179"/>
      <c r="B23" s="184"/>
      <c r="C23" s="212"/>
      <c r="D23" s="206"/>
      <c r="E23" s="210" t="s">
        <v>186</v>
      </c>
      <c r="F23" s="210"/>
      <c r="G23" s="180"/>
      <c r="H23" s="18"/>
      <c r="I23" s="90"/>
      <c r="J23" s="90"/>
      <c r="K23" s="90"/>
      <c r="L23" s="90"/>
      <c r="M23" s="90"/>
      <c r="N23" s="90"/>
      <c r="O23" s="98" t="s">
        <v>178</v>
      </c>
      <c r="P23" s="98" t="s">
        <v>178</v>
      </c>
      <c r="Q23" s="98" t="s">
        <v>178</v>
      </c>
      <c r="R23" s="98" t="s">
        <v>178</v>
      </c>
      <c r="S23" s="98" t="s">
        <v>178</v>
      </c>
      <c r="T23" s="98" t="s">
        <v>178</v>
      </c>
      <c r="U23" s="98" t="s">
        <v>178</v>
      </c>
      <c r="V23" s="98" t="s">
        <v>178</v>
      </c>
      <c r="W23" s="98" t="s">
        <v>178</v>
      </c>
      <c r="X23" s="98" t="s">
        <v>178</v>
      </c>
      <c r="Y23" s="98" t="s">
        <v>178</v>
      </c>
      <c r="Z23" s="98" t="s">
        <v>178</v>
      </c>
      <c r="AA23" s="90"/>
      <c r="AB23" s="98" t="s">
        <v>178</v>
      </c>
      <c r="AC23" s="90"/>
      <c r="AD23" s="90"/>
      <c r="AE23" s="90"/>
      <c r="AF23" s="90"/>
    </row>
    <row r="24" spans="1:32" s="17" customFormat="1" ht="13.5" customHeight="1">
      <c r="A24" s="179"/>
      <c r="B24" s="184"/>
      <c r="C24" s="210" t="s">
        <v>72</v>
      </c>
      <c r="D24" s="210"/>
      <c r="E24" s="210"/>
      <c r="F24" s="210"/>
      <c r="G24" s="180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79"/>
      <c r="B25" s="184"/>
      <c r="C25" s="212"/>
      <c r="D25" s="236"/>
      <c r="E25" s="210" t="s">
        <v>70</v>
      </c>
      <c r="F25" s="210"/>
      <c r="G25" s="180"/>
      <c r="H25" s="18" t="s">
        <v>178</v>
      </c>
      <c r="I25" s="98" t="s">
        <v>178</v>
      </c>
      <c r="J25" s="98" t="s">
        <v>178</v>
      </c>
      <c r="K25" s="98" t="s">
        <v>178</v>
      </c>
      <c r="L25" s="98" t="s">
        <v>178</v>
      </c>
      <c r="M25" s="98" t="s">
        <v>178</v>
      </c>
      <c r="N25" s="98" t="s">
        <v>178</v>
      </c>
      <c r="O25" s="98" t="s">
        <v>178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79"/>
      <c r="B26" s="184"/>
      <c r="C26" s="212"/>
      <c r="D26" s="237"/>
      <c r="E26" s="245" t="s">
        <v>187</v>
      </c>
      <c r="F26" s="245"/>
      <c r="G26" s="241"/>
      <c r="H26" s="18"/>
      <c r="I26" s="90"/>
      <c r="J26" s="90"/>
      <c r="K26" s="90"/>
      <c r="L26" s="90"/>
      <c r="M26" s="90"/>
      <c r="N26" s="90"/>
      <c r="O26" s="90"/>
      <c r="P26" s="98" t="s">
        <v>178</v>
      </c>
      <c r="Q26" s="98" t="s">
        <v>178</v>
      </c>
      <c r="R26" s="98" t="s">
        <v>178</v>
      </c>
      <c r="S26" s="98" t="s">
        <v>178</v>
      </c>
      <c r="T26" s="98" t="s">
        <v>178</v>
      </c>
      <c r="U26" s="98" t="s">
        <v>178</v>
      </c>
      <c r="V26" s="98" t="s">
        <v>178</v>
      </c>
      <c r="W26" s="98" t="s">
        <v>178</v>
      </c>
      <c r="X26" s="98" t="s">
        <v>178</v>
      </c>
      <c r="Y26" s="98" t="s">
        <v>178</v>
      </c>
      <c r="Z26" s="98" t="s">
        <v>178</v>
      </c>
      <c r="AA26" s="98" t="s">
        <v>178</v>
      </c>
      <c r="AB26" s="98" t="s">
        <v>177</v>
      </c>
      <c r="AC26" s="90"/>
      <c r="AD26" s="90"/>
      <c r="AE26" s="90"/>
      <c r="AF26" s="90"/>
    </row>
    <row r="27" spans="1:32" s="17" customFormat="1" ht="13.5" customHeight="1">
      <c r="A27" s="179"/>
      <c r="B27" s="184"/>
      <c r="C27" s="210" t="s">
        <v>74</v>
      </c>
      <c r="D27" s="210"/>
      <c r="E27" s="210"/>
      <c r="F27" s="210"/>
      <c r="G27" s="180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79"/>
      <c r="B28" s="184"/>
      <c r="C28" s="90"/>
      <c r="D28" s="210" t="s">
        <v>55</v>
      </c>
      <c r="E28" s="210"/>
      <c r="F28" s="210"/>
      <c r="G28" s="180"/>
      <c r="H28" s="18"/>
      <c r="I28" s="90"/>
      <c r="J28" s="90"/>
      <c r="K28" s="90"/>
      <c r="L28" s="90"/>
      <c r="M28" s="90"/>
      <c r="N28" s="90"/>
      <c r="O28" s="90"/>
      <c r="P28" s="90"/>
      <c r="Q28" s="98" t="s">
        <v>178</v>
      </c>
      <c r="R28" s="98" t="s">
        <v>178</v>
      </c>
      <c r="S28" s="98" t="s">
        <v>178</v>
      </c>
      <c r="T28" s="98" t="s">
        <v>178</v>
      </c>
      <c r="U28" s="98" t="s">
        <v>178</v>
      </c>
      <c r="V28" s="98" t="s">
        <v>178</v>
      </c>
      <c r="W28" s="98" t="s">
        <v>178</v>
      </c>
      <c r="X28" s="98" t="s">
        <v>178</v>
      </c>
      <c r="Y28" s="98" t="s">
        <v>178</v>
      </c>
      <c r="Z28" s="98" t="s">
        <v>178</v>
      </c>
      <c r="AA28" s="98" t="s">
        <v>178</v>
      </c>
      <c r="AB28" s="98" t="s">
        <v>177</v>
      </c>
      <c r="AC28" s="90"/>
      <c r="AD28" s="90"/>
      <c r="AE28" s="90"/>
      <c r="AF28" s="90"/>
    </row>
    <row r="29" spans="1:32" s="17" customFormat="1" ht="13.5" customHeight="1">
      <c r="A29" s="179"/>
      <c r="B29" s="184"/>
      <c r="C29" s="210" t="s">
        <v>76</v>
      </c>
      <c r="D29" s="210"/>
      <c r="E29" s="210"/>
      <c r="F29" s="210"/>
      <c r="G29" s="180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79"/>
      <c r="B30" s="184"/>
      <c r="C30" s="212"/>
      <c r="D30" s="212"/>
      <c r="E30" s="210" t="s">
        <v>70</v>
      </c>
      <c r="F30" s="210"/>
      <c r="G30" s="180"/>
      <c r="H30" s="18" t="s">
        <v>178</v>
      </c>
      <c r="I30" s="98" t="s">
        <v>178</v>
      </c>
      <c r="J30" s="98" t="s">
        <v>178</v>
      </c>
      <c r="K30" s="98" t="s">
        <v>178</v>
      </c>
      <c r="L30" s="98" t="s">
        <v>178</v>
      </c>
      <c r="M30" s="98" t="s">
        <v>178</v>
      </c>
      <c r="N30" s="98" t="s">
        <v>178</v>
      </c>
      <c r="O30" s="98" t="s">
        <v>178</v>
      </c>
      <c r="P30" s="98" t="s">
        <v>178</v>
      </c>
      <c r="Q30" s="98" t="s">
        <v>178</v>
      </c>
      <c r="R30" s="90"/>
      <c r="S30" s="90"/>
      <c r="T30" s="90"/>
      <c r="U30" s="90"/>
      <c r="V30" s="90"/>
      <c r="W30" s="90"/>
      <c r="X30" s="90"/>
      <c r="Y30" s="90"/>
      <c r="Z30" s="90"/>
      <c r="AA30" s="98" t="s">
        <v>177</v>
      </c>
      <c r="AB30" s="90"/>
      <c r="AC30" s="90"/>
      <c r="AD30" s="90"/>
      <c r="AE30" s="90"/>
      <c r="AF30" s="20"/>
    </row>
    <row r="31" spans="1:32" s="17" customFormat="1" ht="13.5" customHeight="1">
      <c r="A31" s="179"/>
      <c r="B31" s="184"/>
      <c r="C31" s="212"/>
      <c r="D31" s="212"/>
      <c r="E31" s="267" t="s">
        <v>188</v>
      </c>
      <c r="F31" s="183"/>
      <c r="G31" s="221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8" t="s">
        <v>177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79"/>
      <c r="B32" s="184"/>
      <c r="C32" s="212"/>
      <c r="D32" s="212"/>
      <c r="E32" s="244" t="s">
        <v>189</v>
      </c>
      <c r="F32" s="210"/>
      <c r="G32" s="180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8" t="s">
        <v>177</v>
      </c>
      <c r="T32" s="98" t="s">
        <v>177</v>
      </c>
      <c r="U32" s="98" t="s">
        <v>177</v>
      </c>
      <c r="V32" s="98" t="s">
        <v>177</v>
      </c>
      <c r="W32" s="98" t="s">
        <v>177</v>
      </c>
      <c r="X32" s="98" t="s">
        <v>177</v>
      </c>
      <c r="Y32" s="98" t="s">
        <v>177</v>
      </c>
      <c r="Z32" s="98" t="s">
        <v>177</v>
      </c>
      <c r="AA32" s="90"/>
      <c r="AB32" s="98" t="s">
        <v>177</v>
      </c>
      <c r="AC32" s="90"/>
      <c r="AD32" s="90"/>
      <c r="AE32" s="90"/>
      <c r="AF32" s="90"/>
    </row>
    <row r="33" spans="1:32" s="17" customFormat="1" ht="13.5" customHeight="1">
      <c r="A33" s="179"/>
      <c r="B33" s="184"/>
      <c r="C33" s="210" t="s">
        <v>77</v>
      </c>
      <c r="D33" s="210"/>
      <c r="E33" s="210"/>
      <c r="F33" s="210"/>
      <c r="G33" s="180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79"/>
      <c r="B34" s="184"/>
      <c r="C34" s="212"/>
      <c r="D34" s="210" t="s">
        <v>122</v>
      </c>
      <c r="E34" s="210"/>
      <c r="F34" s="210"/>
      <c r="G34" s="180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79"/>
      <c r="B35" s="184"/>
      <c r="C35" s="212"/>
      <c r="D35" s="236"/>
      <c r="E35" s="180" t="s">
        <v>117</v>
      </c>
      <c r="F35" s="183"/>
      <c r="G35" s="221"/>
      <c r="H35" s="86" t="s">
        <v>178</v>
      </c>
      <c r="I35" s="98" t="s">
        <v>178</v>
      </c>
      <c r="J35" s="98" t="s">
        <v>178</v>
      </c>
      <c r="K35" s="98" t="s">
        <v>178</v>
      </c>
      <c r="L35" s="98" t="s">
        <v>178</v>
      </c>
      <c r="M35" s="98" t="s">
        <v>178</v>
      </c>
      <c r="N35" s="98" t="s">
        <v>178</v>
      </c>
      <c r="O35" s="98" t="s">
        <v>177</v>
      </c>
      <c r="P35" s="98" t="s">
        <v>177</v>
      </c>
      <c r="Q35" s="98" t="s">
        <v>177</v>
      </c>
      <c r="R35" s="98" t="s">
        <v>177</v>
      </c>
      <c r="S35" s="98" t="s">
        <v>177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79"/>
      <c r="B36" s="184"/>
      <c r="C36" s="212"/>
      <c r="D36" s="237"/>
      <c r="E36" s="264">
        <v>1997</v>
      </c>
      <c r="F36" s="265"/>
      <c r="G36" s="266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8" t="s">
        <v>177</v>
      </c>
      <c r="U36" s="98" t="s">
        <v>177</v>
      </c>
      <c r="V36" s="98" t="s">
        <v>177</v>
      </c>
      <c r="W36" s="98" t="s">
        <v>177</v>
      </c>
      <c r="X36" s="98" t="s">
        <v>177</v>
      </c>
      <c r="Y36" s="98" t="s">
        <v>177</v>
      </c>
      <c r="Z36" s="98" t="s">
        <v>177</v>
      </c>
      <c r="AA36" s="98" t="s">
        <v>177</v>
      </c>
      <c r="AB36" s="98" t="s">
        <v>177</v>
      </c>
      <c r="AC36" s="90"/>
      <c r="AD36" s="90"/>
      <c r="AE36" s="90"/>
      <c r="AF36" s="90"/>
    </row>
    <row r="37" spans="1:32" s="17" customFormat="1" ht="13.5" customHeight="1">
      <c r="A37" s="179"/>
      <c r="B37" s="184"/>
      <c r="C37" s="212"/>
      <c r="D37" s="210" t="s">
        <v>78</v>
      </c>
      <c r="E37" s="210"/>
      <c r="F37" s="210"/>
      <c r="G37" s="180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79"/>
      <c r="B38" s="184"/>
      <c r="C38" s="212"/>
      <c r="D38" s="236"/>
      <c r="E38" s="180" t="s">
        <v>70</v>
      </c>
      <c r="F38" s="183"/>
      <c r="G38" s="221"/>
      <c r="H38" s="86" t="s">
        <v>178</v>
      </c>
      <c r="I38" s="98" t="s">
        <v>178</v>
      </c>
      <c r="J38" s="98" t="s">
        <v>178</v>
      </c>
      <c r="K38" s="98" t="s">
        <v>178</v>
      </c>
      <c r="L38" s="98" t="s">
        <v>178</v>
      </c>
      <c r="M38" s="98" t="s">
        <v>178</v>
      </c>
      <c r="N38" s="98" t="s">
        <v>178</v>
      </c>
      <c r="O38" s="98" t="s">
        <v>178</v>
      </c>
      <c r="P38" s="98" t="s">
        <v>178</v>
      </c>
      <c r="Q38" s="98" t="s">
        <v>178</v>
      </c>
      <c r="R38" s="98" t="s">
        <v>178</v>
      </c>
      <c r="S38" s="98" t="s">
        <v>178</v>
      </c>
      <c r="T38" s="98" t="s">
        <v>178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79"/>
      <c r="B39" s="184"/>
      <c r="C39" s="212"/>
      <c r="D39" s="237"/>
      <c r="E39" s="239">
        <v>3</v>
      </c>
      <c r="F39" s="210"/>
      <c r="G39" s="180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8" t="s">
        <v>178</v>
      </c>
      <c r="V39" s="98" t="s">
        <v>178</v>
      </c>
      <c r="W39" s="98" t="s">
        <v>178</v>
      </c>
      <c r="X39" s="98" t="s">
        <v>178</v>
      </c>
      <c r="Y39" s="98" t="s">
        <v>178</v>
      </c>
      <c r="Z39" s="98" t="s">
        <v>178</v>
      </c>
      <c r="AA39" s="98" t="s">
        <v>178</v>
      </c>
      <c r="AB39" s="98" t="s">
        <v>178</v>
      </c>
      <c r="AC39" s="90"/>
      <c r="AD39" s="90"/>
      <c r="AE39" s="90"/>
      <c r="AF39" s="90"/>
    </row>
    <row r="40" spans="1:32" s="17" customFormat="1" ht="13.5" customHeight="1">
      <c r="A40" s="179"/>
      <c r="B40" s="184"/>
      <c r="C40" s="212"/>
      <c r="D40" s="210" t="s">
        <v>56</v>
      </c>
      <c r="E40" s="210"/>
      <c r="F40" s="210"/>
      <c r="G40" s="180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79"/>
      <c r="B41" s="184"/>
      <c r="C41" s="212"/>
      <c r="D41" s="236"/>
      <c r="E41" s="180" t="s">
        <v>70</v>
      </c>
      <c r="F41" s="183"/>
      <c r="G41" s="221"/>
      <c r="H41" s="86" t="s">
        <v>178</v>
      </c>
      <c r="I41" s="98" t="s">
        <v>178</v>
      </c>
      <c r="J41" s="98" t="s">
        <v>178</v>
      </c>
      <c r="K41" s="98" t="s">
        <v>178</v>
      </c>
      <c r="L41" s="98" t="s">
        <v>178</v>
      </c>
      <c r="M41" s="98" t="s">
        <v>178</v>
      </c>
      <c r="N41" s="98" t="s">
        <v>178</v>
      </c>
      <c r="O41" s="98" t="s">
        <v>178</v>
      </c>
      <c r="P41" s="98" t="s">
        <v>178</v>
      </c>
      <c r="Q41" s="98" t="s">
        <v>178</v>
      </c>
      <c r="R41" s="98" t="s">
        <v>178</v>
      </c>
      <c r="S41" s="98" t="s">
        <v>178</v>
      </c>
      <c r="T41" s="98" t="s">
        <v>178</v>
      </c>
      <c r="U41" s="98" t="s">
        <v>178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79"/>
      <c r="B42" s="184"/>
      <c r="C42" s="212"/>
      <c r="D42" s="184"/>
      <c r="E42" s="240">
        <v>17</v>
      </c>
      <c r="F42" s="183"/>
      <c r="G42" s="221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8" t="s">
        <v>178</v>
      </c>
      <c r="W42" s="98" t="s">
        <v>178</v>
      </c>
      <c r="X42" s="98" t="s">
        <v>178</v>
      </c>
      <c r="Y42" s="98" t="s">
        <v>178</v>
      </c>
      <c r="Z42" s="98" t="s">
        <v>178</v>
      </c>
      <c r="AA42" s="98" t="s">
        <v>178</v>
      </c>
      <c r="AB42" s="98" t="s">
        <v>178</v>
      </c>
      <c r="AC42" s="90"/>
      <c r="AD42" s="90"/>
      <c r="AE42" s="90"/>
      <c r="AF42" s="90"/>
    </row>
    <row r="43" spans="1:32" s="17" customFormat="1" ht="13.5" customHeight="1">
      <c r="A43" s="179"/>
      <c r="B43" s="184"/>
      <c r="C43" s="210" t="s">
        <v>79</v>
      </c>
      <c r="D43" s="210"/>
      <c r="E43" s="210"/>
      <c r="F43" s="210"/>
      <c r="G43" s="180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79"/>
      <c r="B44" s="184"/>
      <c r="C44" s="212"/>
      <c r="D44" s="210" t="s">
        <v>70</v>
      </c>
      <c r="E44" s="210"/>
      <c r="F44" s="210"/>
      <c r="G44" s="211"/>
      <c r="H44" s="85" t="s">
        <v>178</v>
      </c>
      <c r="I44" s="98" t="s">
        <v>178</v>
      </c>
      <c r="J44" s="98" t="s">
        <v>178</v>
      </c>
      <c r="K44" s="98" t="s">
        <v>178</v>
      </c>
      <c r="L44" s="98" t="s">
        <v>178</v>
      </c>
      <c r="M44" s="98" t="s">
        <v>178</v>
      </c>
      <c r="N44" s="98" t="s">
        <v>178</v>
      </c>
      <c r="O44" s="98" t="s">
        <v>178</v>
      </c>
      <c r="P44" s="98" t="s">
        <v>178</v>
      </c>
      <c r="Q44" s="98" t="s">
        <v>178</v>
      </c>
      <c r="R44" s="98" t="s">
        <v>178</v>
      </c>
      <c r="S44" s="98" t="s">
        <v>178</v>
      </c>
      <c r="T44" s="98" t="s">
        <v>178</v>
      </c>
      <c r="U44" s="98" t="s">
        <v>178</v>
      </c>
      <c r="V44" s="98" t="s">
        <v>178</v>
      </c>
      <c r="W44" s="90"/>
      <c r="X44" s="90"/>
      <c r="Y44" s="90"/>
      <c r="Z44" s="90"/>
      <c r="AA44" s="98" t="s">
        <v>178</v>
      </c>
      <c r="AB44" s="98" t="s">
        <v>178</v>
      </c>
      <c r="AC44" s="90"/>
      <c r="AD44" s="90"/>
      <c r="AE44" s="90"/>
      <c r="AF44" s="20"/>
    </row>
    <row r="45" spans="1:32" s="17" customFormat="1" ht="13.5" customHeight="1">
      <c r="A45" s="179"/>
      <c r="B45" s="184"/>
      <c r="C45" s="212"/>
      <c r="D45" s="210" t="s">
        <v>158</v>
      </c>
      <c r="E45" s="210"/>
      <c r="F45" s="210"/>
      <c r="G45" s="180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8" t="s">
        <v>178</v>
      </c>
      <c r="X45" s="98" t="s">
        <v>178</v>
      </c>
      <c r="Y45" s="98" t="s">
        <v>178</v>
      </c>
      <c r="Z45" s="98" t="s">
        <v>178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79"/>
      <c r="B46" s="184"/>
      <c r="C46" s="210" t="s">
        <v>80</v>
      </c>
      <c r="D46" s="210"/>
      <c r="E46" s="210"/>
      <c r="F46" s="210"/>
      <c r="G46" s="180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79"/>
      <c r="B47" s="184"/>
      <c r="C47" s="212"/>
      <c r="D47" s="210" t="s">
        <v>81</v>
      </c>
      <c r="E47" s="210"/>
      <c r="F47" s="210"/>
      <c r="G47" s="180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8" t="s">
        <v>178</v>
      </c>
      <c r="Y47" s="90"/>
      <c r="Z47" s="98" t="s">
        <v>178</v>
      </c>
      <c r="AA47" s="98" t="s">
        <v>178</v>
      </c>
      <c r="AB47" s="90"/>
      <c r="AC47" s="90"/>
      <c r="AD47" s="90"/>
      <c r="AE47" s="90"/>
      <c r="AF47" s="90"/>
    </row>
    <row r="48" spans="1:32" s="17" customFormat="1" ht="13.5" customHeight="1">
      <c r="A48" s="179"/>
      <c r="B48" s="184"/>
      <c r="C48" s="212"/>
      <c r="D48" s="210" t="s">
        <v>82</v>
      </c>
      <c r="E48" s="210"/>
      <c r="F48" s="210"/>
      <c r="G48" s="180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8" t="s">
        <v>178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79"/>
      <c r="B49" s="184"/>
      <c r="C49" s="212"/>
      <c r="D49" s="210" t="s">
        <v>83</v>
      </c>
      <c r="E49" s="210"/>
      <c r="F49" s="210"/>
      <c r="G49" s="180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8" t="s">
        <v>178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79"/>
      <c r="B50" s="184"/>
      <c r="C50" s="212"/>
      <c r="D50" s="210" t="s">
        <v>84</v>
      </c>
      <c r="E50" s="210"/>
      <c r="F50" s="210"/>
      <c r="G50" s="180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8" t="s">
        <v>178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79"/>
      <c r="B51" s="184"/>
      <c r="C51" s="210" t="s">
        <v>85</v>
      </c>
      <c r="D51" s="210"/>
      <c r="E51" s="210"/>
      <c r="F51" s="210"/>
      <c r="G51" s="180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79"/>
      <c r="B52" s="184"/>
      <c r="C52" s="236"/>
      <c r="D52" s="210" t="s">
        <v>70</v>
      </c>
      <c r="E52" s="210"/>
      <c r="F52" s="210"/>
      <c r="G52" s="211"/>
      <c r="H52" s="85" t="s">
        <v>178</v>
      </c>
      <c r="I52" s="98" t="s">
        <v>178</v>
      </c>
      <c r="J52" s="98" t="s">
        <v>178</v>
      </c>
      <c r="K52" s="98" t="s">
        <v>178</v>
      </c>
      <c r="L52" s="98" t="s">
        <v>178</v>
      </c>
      <c r="M52" s="98" t="s">
        <v>178</v>
      </c>
      <c r="N52" s="98" t="s">
        <v>178</v>
      </c>
      <c r="O52" s="98" t="s">
        <v>178</v>
      </c>
      <c r="P52" s="98" t="s">
        <v>178</v>
      </c>
      <c r="Q52" s="98" t="s">
        <v>178</v>
      </c>
      <c r="R52" s="98" t="s">
        <v>178</v>
      </c>
      <c r="S52" s="98" t="s">
        <v>178</v>
      </c>
      <c r="T52" s="98" t="s">
        <v>178</v>
      </c>
      <c r="U52" s="98" t="s">
        <v>178</v>
      </c>
      <c r="V52" s="98" t="s">
        <v>178</v>
      </c>
      <c r="W52" s="98" t="s">
        <v>178</v>
      </c>
      <c r="X52" s="98" t="s">
        <v>178</v>
      </c>
      <c r="Y52" s="90"/>
      <c r="Z52" s="90"/>
      <c r="AA52" s="98" t="s">
        <v>178</v>
      </c>
      <c r="AB52" s="90"/>
      <c r="AD52" s="90"/>
      <c r="AE52" s="90"/>
      <c r="AF52" s="90"/>
    </row>
    <row r="53" spans="1:32" s="17" customFormat="1" ht="13.5" customHeight="1">
      <c r="A53" s="179"/>
      <c r="B53" s="184"/>
      <c r="C53" s="237"/>
      <c r="D53" s="210" t="s">
        <v>59</v>
      </c>
      <c r="E53" s="210"/>
      <c r="F53" s="210"/>
      <c r="G53" s="180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8" t="s">
        <v>178</v>
      </c>
      <c r="Z53" s="98" t="s">
        <v>178</v>
      </c>
      <c r="AA53" s="78"/>
      <c r="AB53" s="78" t="s">
        <v>178</v>
      </c>
      <c r="AC53" s="90"/>
      <c r="AD53" s="90"/>
      <c r="AE53" s="90"/>
      <c r="AF53" s="90"/>
    </row>
    <row r="54" spans="1:32" s="17" customFormat="1" ht="13.5" customHeight="1">
      <c r="A54" s="179"/>
      <c r="B54" s="184"/>
      <c r="C54" s="210" t="s">
        <v>86</v>
      </c>
      <c r="D54" s="210"/>
      <c r="E54" s="210"/>
      <c r="F54" s="210"/>
      <c r="G54" s="211"/>
      <c r="H54" s="85" t="s">
        <v>178</v>
      </c>
      <c r="I54" s="98" t="s">
        <v>178</v>
      </c>
      <c r="J54" s="98" t="s">
        <v>178</v>
      </c>
      <c r="K54" s="98" t="s">
        <v>178</v>
      </c>
      <c r="L54" s="98" t="s">
        <v>178</v>
      </c>
      <c r="M54" s="98" t="s">
        <v>178</v>
      </c>
      <c r="N54" s="98" t="s">
        <v>178</v>
      </c>
      <c r="O54" s="98" t="s">
        <v>178</v>
      </c>
      <c r="P54" s="98" t="s">
        <v>178</v>
      </c>
      <c r="Q54" s="98" t="s">
        <v>178</v>
      </c>
      <c r="R54" s="98" t="s">
        <v>178</v>
      </c>
      <c r="S54" s="98" t="s">
        <v>178</v>
      </c>
      <c r="T54" s="98" t="s">
        <v>178</v>
      </c>
      <c r="U54" s="98" t="s">
        <v>178</v>
      </c>
      <c r="V54" s="98" t="s">
        <v>178</v>
      </c>
      <c r="W54" s="98" t="s">
        <v>178</v>
      </c>
      <c r="X54" s="98" t="s">
        <v>178</v>
      </c>
      <c r="Y54" s="98" t="s">
        <v>178</v>
      </c>
      <c r="Z54" s="98" t="s">
        <v>178</v>
      </c>
      <c r="AA54" s="98" t="s">
        <v>178</v>
      </c>
      <c r="AB54" s="98" t="s">
        <v>178</v>
      </c>
      <c r="AC54" s="98" t="s">
        <v>178</v>
      </c>
      <c r="AD54" s="90"/>
      <c r="AE54" s="90"/>
      <c r="AF54" s="90"/>
    </row>
    <row r="55" spans="1:32" s="17" customFormat="1" ht="13.5" customHeight="1">
      <c r="A55" s="179"/>
      <c r="B55" s="184"/>
      <c r="C55" s="210" t="s">
        <v>87</v>
      </c>
      <c r="D55" s="210"/>
      <c r="E55" s="210"/>
      <c r="F55" s="210"/>
      <c r="G55" s="180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79"/>
      <c r="B56" s="238"/>
      <c r="C56" s="89"/>
      <c r="D56" s="268" t="s">
        <v>88</v>
      </c>
      <c r="E56" s="268"/>
      <c r="F56" s="268"/>
      <c r="G56" s="269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9" t="s">
        <v>178</v>
      </c>
      <c r="AD56" s="91"/>
      <c r="AE56" s="91"/>
      <c r="AF56" s="20"/>
    </row>
    <row r="57" spans="1:32" s="17" customFormat="1" ht="13.5" customHeight="1">
      <c r="A57" s="172" t="s">
        <v>89</v>
      </c>
      <c r="B57" s="251" t="s">
        <v>57</v>
      </c>
      <c r="C57" s="251"/>
      <c r="D57" s="251"/>
      <c r="E57" s="251"/>
      <c r="F57" s="251"/>
      <c r="G57" s="252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173"/>
      <c r="B58" s="212"/>
      <c r="C58" s="228" t="s">
        <v>90</v>
      </c>
      <c r="D58" s="228"/>
      <c r="E58" s="228"/>
      <c r="F58" s="228"/>
      <c r="G58" s="229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173"/>
      <c r="B59" s="212"/>
      <c r="C59" s="230"/>
      <c r="D59" s="231" t="s">
        <v>159</v>
      </c>
      <c r="E59" s="231"/>
      <c r="F59" s="231"/>
      <c r="G59" s="232"/>
      <c r="H59" s="75"/>
      <c r="I59" s="23"/>
      <c r="J59" s="23"/>
      <c r="K59" s="23"/>
      <c r="L59" s="23"/>
      <c r="M59" s="23" t="s">
        <v>178</v>
      </c>
      <c r="N59" s="76" t="s">
        <v>178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173"/>
      <c r="B60" s="212"/>
      <c r="C60" s="230"/>
      <c r="D60" s="231" t="s">
        <v>91</v>
      </c>
      <c r="E60" s="231"/>
      <c r="F60" s="231"/>
      <c r="G60" s="232"/>
      <c r="H60" s="75"/>
      <c r="I60" s="23"/>
      <c r="J60" s="23"/>
      <c r="K60" s="23"/>
      <c r="L60" s="23"/>
      <c r="M60" s="23"/>
      <c r="N60" s="76"/>
      <c r="O60" s="76" t="s">
        <v>177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173"/>
      <c r="B61" s="212"/>
      <c r="C61" s="230"/>
      <c r="D61" s="231" t="s">
        <v>199</v>
      </c>
      <c r="E61" s="231"/>
      <c r="F61" s="231"/>
      <c r="G61" s="232"/>
      <c r="H61" s="75" t="s">
        <v>178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173"/>
      <c r="B62" s="212"/>
      <c r="C62" s="230"/>
      <c r="D62" s="233" t="s">
        <v>200</v>
      </c>
      <c r="E62" s="234"/>
      <c r="F62" s="234"/>
      <c r="G62" s="235"/>
      <c r="H62" s="75"/>
      <c r="I62" s="23" t="s">
        <v>178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173"/>
      <c r="B63" s="212"/>
      <c r="C63" s="230"/>
      <c r="D63" s="233" t="s">
        <v>92</v>
      </c>
      <c r="E63" s="234"/>
      <c r="F63" s="234"/>
      <c r="G63" s="235"/>
      <c r="H63" s="75"/>
      <c r="I63" s="23"/>
      <c r="J63" s="76" t="s">
        <v>178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173"/>
      <c r="B64" s="212"/>
      <c r="C64" s="230"/>
      <c r="D64" s="233" t="s">
        <v>160</v>
      </c>
      <c r="E64" s="234"/>
      <c r="F64" s="234"/>
      <c r="G64" s="235"/>
      <c r="H64" s="75"/>
      <c r="I64" s="23"/>
      <c r="J64" s="76"/>
      <c r="K64" s="76" t="s">
        <v>178</v>
      </c>
      <c r="L64" s="76" t="s">
        <v>178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173"/>
      <c r="B65" s="212"/>
      <c r="C65" s="230"/>
      <c r="D65" s="231" t="s">
        <v>123</v>
      </c>
      <c r="E65" s="231"/>
      <c r="F65" s="231"/>
      <c r="G65" s="232"/>
      <c r="H65" s="75"/>
      <c r="I65" s="23"/>
      <c r="J65" s="76"/>
      <c r="K65" s="76"/>
      <c r="L65" s="76"/>
      <c r="M65" s="76"/>
      <c r="N65" s="76"/>
      <c r="O65" s="76"/>
      <c r="P65" s="76" t="s">
        <v>177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173"/>
      <c r="B66" s="212"/>
      <c r="C66" s="230"/>
      <c r="D66" s="233" t="s">
        <v>127</v>
      </c>
      <c r="E66" s="234"/>
      <c r="F66" s="234"/>
      <c r="G66" s="235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177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173"/>
      <c r="B67" s="212"/>
      <c r="C67" s="230"/>
      <c r="D67" s="233" t="s">
        <v>124</v>
      </c>
      <c r="E67" s="234"/>
      <c r="F67" s="234"/>
      <c r="G67" s="235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177</v>
      </c>
      <c r="R67" s="76"/>
      <c r="S67" s="100" t="s">
        <v>177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173"/>
      <c r="B68" s="212"/>
      <c r="C68" s="230"/>
      <c r="D68" s="233" t="s">
        <v>125</v>
      </c>
      <c r="E68" s="234"/>
      <c r="F68" s="234"/>
      <c r="G68" s="235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177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173"/>
      <c r="B69" s="212"/>
      <c r="C69" s="230"/>
      <c r="D69" s="233" t="s">
        <v>126</v>
      </c>
      <c r="E69" s="234"/>
      <c r="F69" s="234"/>
      <c r="G69" s="235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177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173"/>
      <c r="B70" s="212"/>
      <c r="C70" s="230"/>
      <c r="D70" s="231" t="s">
        <v>93</v>
      </c>
      <c r="E70" s="231"/>
      <c r="F70" s="231"/>
      <c r="G70" s="232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177</v>
      </c>
      <c r="W70" s="76" t="s">
        <v>177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173"/>
      <c r="B71" s="212"/>
      <c r="C71" s="228" t="s">
        <v>190</v>
      </c>
      <c r="D71" s="228"/>
      <c r="E71" s="228"/>
      <c r="F71" s="228"/>
      <c r="G71" s="229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173"/>
      <c r="B72" s="212"/>
      <c r="C72" s="217"/>
      <c r="D72" s="162" t="s">
        <v>207</v>
      </c>
      <c r="E72" s="163"/>
      <c r="F72" s="163"/>
      <c r="G72" s="216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178</v>
      </c>
      <c r="AB72" s="76" t="s">
        <v>178</v>
      </c>
      <c r="AC72" s="76"/>
      <c r="AD72" s="76"/>
      <c r="AE72" s="76"/>
      <c r="AF72" s="76"/>
    </row>
    <row r="73" spans="1:32" s="17" customFormat="1" ht="13.5" customHeight="1">
      <c r="A73" s="173"/>
      <c r="B73" s="212"/>
      <c r="C73" s="253"/>
      <c r="D73" s="162" t="s">
        <v>151</v>
      </c>
      <c r="E73" s="163"/>
      <c r="F73" s="163"/>
      <c r="G73" s="216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177</v>
      </c>
      <c r="Y73" s="76" t="s">
        <v>177</v>
      </c>
      <c r="Z73" s="76" t="s">
        <v>177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173"/>
      <c r="B74" s="212"/>
      <c r="C74" s="253"/>
      <c r="D74" s="162" t="s">
        <v>191</v>
      </c>
      <c r="E74" s="163"/>
      <c r="F74" s="163"/>
      <c r="G74" s="216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177</v>
      </c>
      <c r="Y74" s="76" t="s">
        <v>177</v>
      </c>
      <c r="Z74" s="76" t="s">
        <v>177</v>
      </c>
      <c r="AA74" s="76" t="s">
        <v>178</v>
      </c>
      <c r="AB74" s="76" t="s">
        <v>178</v>
      </c>
      <c r="AC74" s="76"/>
      <c r="AD74" s="76"/>
      <c r="AE74" s="76"/>
      <c r="AF74" s="90"/>
    </row>
    <row r="75" spans="1:32" s="17" customFormat="1" ht="13.5" customHeight="1">
      <c r="A75" s="173"/>
      <c r="B75" s="212"/>
      <c r="C75" s="253"/>
      <c r="D75" s="162" t="s">
        <v>192</v>
      </c>
      <c r="E75" s="163"/>
      <c r="F75" s="163"/>
      <c r="G75" s="216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177</v>
      </c>
      <c r="Y75" s="76" t="s">
        <v>177</v>
      </c>
      <c r="Z75" s="76" t="s">
        <v>177</v>
      </c>
      <c r="AA75" s="76"/>
      <c r="AB75" s="76" t="s">
        <v>178</v>
      </c>
      <c r="AC75" s="76"/>
      <c r="AD75" s="76"/>
      <c r="AE75" s="76"/>
      <c r="AF75" s="90"/>
    </row>
    <row r="76" spans="1:32" s="17" customFormat="1" ht="13.5" customHeight="1">
      <c r="A76" s="173"/>
      <c r="B76" s="212"/>
      <c r="C76" s="253"/>
      <c r="D76" s="162" t="s">
        <v>208</v>
      </c>
      <c r="E76" s="163"/>
      <c r="F76" s="163"/>
      <c r="G76" s="216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178</v>
      </c>
      <c r="AB76" s="76"/>
      <c r="AC76" s="76"/>
      <c r="AD76" s="76"/>
      <c r="AE76" s="76"/>
      <c r="AF76" s="90"/>
    </row>
    <row r="77" spans="1:32" s="17" customFormat="1" ht="13.5" customHeight="1">
      <c r="A77" s="173"/>
      <c r="B77" s="212"/>
      <c r="C77" s="253"/>
      <c r="D77" s="162" t="s">
        <v>193</v>
      </c>
      <c r="E77" s="163"/>
      <c r="F77" s="163"/>
      <c r="G77" s="216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177</v>
      </c>
      <c r="Y77" s="76" t="s">
        <v>177</v>
      </c>
      <c r="Z77" s="76" t="s">
        <v>177</v>
      </c>
      <c r="AA77" s="76" t="s">
        <v>178</v>
      </c>
      <c r="AB77" s="76" t="s">
        <v>178</v>
      </c>
      <c r="AC77" s="76"/>
      <c r="AD77" s="76"/>
      <c r="AE77" s="76"/>
      <c r="AF77" s="90"/>
    </row>
    <row r="78" spans="1:32" s="17" customFormat="1" ht="13.5" customHeight="1">
      <c r="A78" s="173"/>
      <c r="B78" s="212"/>
      <c r="C78" s="253"/>
      <c r="D78" s="162" t="s">
        <v>201</v>
      </c>
      <c r="E78" s="163"/>
      <c r="F78" s="163"/>
      <c r="G78" s="216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177</v>
      </c>
      <c r="Y78" s="76" t="s">
        <v>177</v>
      </c>
      <c r="Z78" s="76" t="s">
        <v>177</v>
      </c>
      <c r="AA78" s="76" t="s">
        <v>178</v>
      </c>
      <c r="AB78" s="76" t="s">
        <v>178</v>
      </c>
      <c r="AC78" s="76"/>
      <c r="AD78" s="76"/>
      <c r="AE78" s="76"/>
      <c r="AF78" s="90"/>
    </row>
    <row r="79" spans="1:32" s="17" customFormat="1" ht="13.5" customHeight="1">
      <c r="A79" s="173"/>
      <c r="B79" s="212"/>
      <c r="C79" s="253"/>
      <c r="D79" s="162" t="s">
        <v>194</v>
      </c>
      <c r="E79" s="163"/>
      <c r="F79" s="163"/>
      <c r="G79" s="216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177</v>
      </c>
      <c r="Y79" s="76" t="s">
        <v>177</v>
      </c>
      <c r="Z79" s="76" t="s">
        <v>177</v>
      </c>
      <c r="AA79" s="76" t="s">
        <v>178</v>
      </c>
      <c r="AB79" s="76" t="s">
        <v>178</v>
      </c>
      <c r="AC79" s="76"/>
      <c r="AD79" s="76"/>
      <c r="AE79" s="76"/>
      <c r="AF79" s="90"/>
    </row>
    <row r="80" spans="1:32" s="17" customFormat="1" ht="13.5" customHeight="1">
      <c r="A80" s="173"/>
      <c r="B80" s="212"/>
      <c r="C80" s="253"/>
      <c r="D80" s="162" t="s">
        <v>152</v>
      </c>
      <c r="E80" s="163"/>
      <c r="F80" s="163"/>
      <c r="G80" s="216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177</v>
      </c>
      <c r="Y80" s="76" t="s">
        <v>177</v>
      </c>
      <c r="Z80" s="76" t="s">
        <v>177</v>
      </c>
      <c r="AA80" s="76" t="s">
        <v>178</v>
      </c>
      <c r="AB80" s="76" t="s">
        <v>178</v>
      </c>
      <c r="AC80" s="76"/>
      <c r="AD80" s="76"/>
      <c r="AE80" s="76"/>
      <c r="AF80" s="90"/>
    </row>
    <row r="81" spans="1:32" s="17" customFormat="1" ht="13.5" customHeight="1">
      <c r="A81" s="173"/>
      <c r="B81" s="212"/>
      <c r="C81" s="253"/>
      <c r="D81" s="162" t="s">
        <v>206</v>
      </c>
      <c r="E81" s="163"/>
      <c r="F81" s="163"/>
      <c r="G81" s="216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178</v>
      </c>
      <c r="AB81" s="76"/>
      <c r="AC81" s="76"/>
      <c r="AD81" s="76"/>
      <c r="AE81" s="76"/>
      <c r="AF81" s="90"/>
    </row>
    <row r="82" spans="1:32" s="17" customFormat="1" ht="13.5" customHeight="1">
      <c r="A82" s="173"/>
      <c r="B82" s="212"/>
      <c r="C82" s="253"/>
      <c r="D82" s="162" t="s">
        <v>195</v>
      </c>
      <c r="E82" s="163"/>
      <c r="F82" s="163"/>
      <c r="G82" s="216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177</v>
      </c>
      <c r="Y82" s="76" t="s">
        <v>177</v>
      </c>
      <c r="Z82" s="76" t="s">
        <v>177</v>
      </c>
      <c r="AA82" s="76"/>
      <c r="AB82" s="76" t="s">
        <v>178</v>
      </c>
      <c r="AC82" s="76"/>
      <c r="AD82" s="76"/>
      <c r="AE82" s="76"/>
      <c r="AF82" s="90"/>
    </row>
    <row r="83" spans="1:32" s="17" customFormat="1" ht="13.5" customHeight="1">
      <c r="A83" s="173"/>
      <c r="B83" s="212"/>
      <c r="C83" s="253"/>
      <c r="D83" s="162" t="s">
        <v>196</v>
      </c>
      <c r="E83" s="163"/>
      <c r="F83" s="163"/>
      <c r="G83" s="216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178</v>
      </c>
      <c r="AB83" s="76" t="s">
        <v>178</v>
      </c>
      <c r="AC83" s="76"/>
      <c r="AD83" s="76"/>
      <c r="AE83" s="76"/>
      <c r="AF83" s="90"/>
    </row>
    <row r="84" spans="1:32" s="17" customFormat="1" ht="13.5" customHeight="1">
      <c r="A84" s="173"/>
      <c r="B84" s="212"/>
      <c r="C84" s="253"/>
      <c r="D84" s="162" t="s">
        <v>203</v>
      </c>
      <c r="E84" s="163"/>
      <c r="F84" s="163"/>
      <c r="G84" s="216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178</v>
      </c>
      <c r="AB84" s="76" t="s">
        <v>178</v>
      </c>
      <c r="AC84" s="76"/>
      <c r="AD84" s="76"/>
      <c r="AE84" s="76"/>
      <c r="AF84" s="90"/>
    </row>
    <row r="85" spans="1:32" s="17" customFormat="1" ht="13.5" customHeight="1">
      <c r="A85" s="173"/>
      <c r="B85" s="212"/>
      <c r="C85" s="253"/>
      <c r="D85" s="162" t="s">
        <v>161</v>
      </c>
      <c r="E85" s="163"/>
      <c r="F85" s="163"/>
      <c r="G85" s="216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178</v>
      </c>
      <c r="Y85" s="23" t="s">
        <v>178</v>
      </c>
      <c r="Z85" s="23" t="s">
        <v>178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173"/>
      <c r="B86" s="212"/>
      <c r="C86" s="253"/>
      <c r="D86" s="162" t="s">
        <v>153</v>
      </c>
      <c r="E86" s="163"/>
      <c r="F86" s="163"/>
      <c r="G86" s="216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177</v>
      </c>
      <c r="Y86" s="76"/>
      <c r="Z86" s="76"/>
      <c r="AA86" s="76" t="s">
        <v>178</v>
      </c>
      <c r="AB86" s="76"/>
      <c r="AC86" s="90"/>
      <c r="AD86" s="23"/>
      <c r="AE86" s="23"/>
      <c r="AF86" s="78"/>
    </row>
    <row r="87" spans="1:32" s="17" customFormat="1" ht="12.75" customHeight="1">
      <c r="A87" s="173"/>
      <c r="B87" s="212"/>
      <c r="C87" s="253"/>
      <c r="D87" s="162" t="s">
        <v>154</v>
      </c>
      <c r="E87" s="163"/>
      <c r="F87" s="163"/>
      <c r="G87" s="216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177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173"/>
      <c r="B88" s="212"/>
      <c r="C88" s="253"/>
      <c r="D88" s="160" t="s">
        <v>180</v>
      </c>
      <c r="E88" s="161"/>
      <c r="F88" s="161"/>
      <c r="G88" s="254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177</v>
      </c>
      <c r="Z88" s="76" t="s">
        <v>177</v>
      </c>
      <c r="AA88" s="76"/>
      <c r="AB88" s="76" t="s">
        <v>177</v>
      </c>
      <c r="AC88" s="76"/>
      <c r="AD88" s="76"/>
      <c r="AE88" s="76"/>
      <c r="AF88" s="78"/>
    </row>
    <row r="89" spans="1:32" s="17" customFormat="1" ht="11.25" customHeight="1">
      <c r="A89" s="173"/>
      <c r="B89" s="212"/>
      <c r="C89" s="255" t="s">
        <v>149</v>
      </c>
      <c r="D89" s="256"/>
      <c r="E89" s="256"/>
      <c r="F89" s="256"/>
      <c r="G89" s="257"/>
      <c r="H89" s="97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6"/>
    </row>
    <row r="90" spans="1:32" s="17" customFormat="1" ht="13.5" customHeight="1">
      <c r="A90" s="173"/>
      <c r="B90" s="212"/>
      <c r="C90" s="217"/>
      <c r="D90" s="255" t="s">
        <v>150</v>
      </c>
      <c r="E90" s="256"/>
      <c r="F90" s="256"/>
      <c r="G90" s="257"/>
      <c r="H90" s="97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177</v>
      </c>
      <c r="Y90" s="76" t="s">
        <v>177</v>
      </c>
      <c r="Z90" s="76" t="s">
        <v>177</v>
      </c>
      <c r="AA90" s="76" t="s">
        <v>178</v>
      </c>
      <c r="AB90" s="76" t="s">
        <v>178</v>
      </c>
      <c r="AC90" s="76"/>
      <c r="AD90" s="76"/>
      <c r="AE90" s="76"/>
      <c r="AF90" s="77"/>
    </row>
    <row r="91" spans="1:32" s="17" customFormat="1" ht="13.5" customHeight="1" thickBot="1">
      <c r="A91" s="173"/>
      <c r="B91" s="212"/>
      <c r="C91" s="258"/>
      <c r="D91" s="256" t="s">
        <v>155</v>
      </c>
      <c r="E91" s="256"/>
      <c r="F91" s="256"/>
      <c r="G91" s="257"/>
      <c r="H91" s="97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177</v>
      </c>
      <c r="AD91" s="76"/>
      <c r="AE91" s="76"/>
      <c r="AF91" s="77"/>
    </row>
    <row r="92" spans="1:32" s="17" customFormat="1" ht="24" customHeight="1">
      <c r="A92" s="164" t="s">
        <v>94</v>
      </c>
      <c r="B92" s="166"/>
      <c r="C92" s="214"/>
      <c r="D92" s="167"/>
      <c r="E92" s="167"/>
      <c r="F92" s="168"/>
      <c r="G92" s="35" t="s">
        <v>95</v>
      </c>
      <c r="H92" s="36" t="s">
        <v>52</v>
      </c>
      <c r="I92" s="37" t="s">
        <v>52</v>
      </c>
      <c r="J92" s="37" t="s">
        <v>52</v>
      </c>
      <c r="K92" s="37" t="s">
        <v>52</v>
      </c>
      <c r="L92" s="37" t="s">
        <v>52</v>
      </c>
      <c r="M92" s="37" t="s">
        <v>52</v>
      </c>
      <c r="N92" s="37" t="s">
        <v>52</v>
      </c>
      <c r="O92" s="37" t="s">
        <v>52</v>
      </c>
      <c r="P92" s="37" t="s">
        <v>52</v>
      </c>
      <c r="Q92" s="37" t="s">
        <v>52</v>
      </c>
      <c r="R92" s="37" t="s">
        <v>52</v>
      </c>
      <c r="S92" s="37" t="s">
        <v>52</v>
      </c>
      <c r="T92" s="37" t="s">
        <v>52</v>
      </c>
      <c r="U92" s="37" t="s">
        <v>52</v>
      </c>
      <c r="V92" s="37" t="s">
        <v>52</v>
      </c>
      <c r="W92" s="37" t="s">
        <v>52</v>
      </c>
      <c r="X92" s="37" t="s">
        <v>52</v>
      </c>
      <c r="Y92" s="37" t="s">
        <v>52</v>
      </c>
      <c r="Z92" s="37" t="s">
        <v>52</v>
      </c>
      <c r="AA92" s="37" t="s">
        <v>52</v>
      </c>
      <c r="AB92" s="37" t="s">
        <v>52</v>
      </c>
      <c r="AC92" s="37" t="s">
        <v>53</v>
      </c>
      <c r="AD92" s="37"/>
      <c r="AE92" s="37"/>
      <c r="AF92" s="38"/>
    </row>
    <row r="93" spans="1:32" s="17" customFormat="1" ht="27" customHeight="1">
      <c r="A93" s="165"/>
      <c r="B93" s="169"/>
      <c r="C93" s="170"/>
      <c r="D93" s="170"/>
      <c r="E93" s="170"/>
      <c r="F93" s="171"/>
      <c r="G93" s="39" t="s">
        <v>96</v>
      </c>
      <c r="H93" s="40" t="s">
        <v>179</v>
      </c>
      <c r="I93" s="40" t="s">
        <v>179</v>
      </c>
      <c r="J93" s="40" t="s">
        <v>179</v>
      </c>
      <c r="K93" s="40" t="s">
        <v>179</v>
      </c>
      <c r="L93" s="40" t="s">
        <v>179</v>
      </c>
      <c r="M93" s="40" t="s">
        <v>179</v>
      </c>
      <c r="N93" s="40" t="s">
        <v>179</v>
      </c>
      <c r="O93" s="40" t="s">
        <v>179</v>
      </c>
      <c r="P93" s="40" t="s">
        <v>179</v>
      </c>
      <c r="Q93" s="40" t="s">
        <v>179</v>
      </c>
      <c r="R93" s="40" t="s">
        <v>179</v>
      </c>
      <c r="S93" s="40" t="s">
        <v>179</v>
      </c>
      <c r="T93" s="40" t="s">
        <v>179</v>
      </c>
      <c r="U93" s="40" t="s">
        <v>179</v>
      </c>
      <c r="V93" s="40" t="s">
        <v>179</v>
      </c>
      <c r="W93" s="40" t="s">
        <v>179</v>
      </c>
      <c r="X93" s="40" t="s">
        <v>179</v>
      </c>
      <c r="Y93" s="40" t="s">
        <v>179</v>
      </c>
      <c r="Z93" s="40" t="s">
        <v>179</v>
      </c>
      <c r="AA93" s="40" t="s">
        <v>179</v>
      </c>
      <c r="AB93" s="40" t="s">
        <v>179</v>
      </c>
      <c r="AC93" s="40" t="s">
        <v>179</v>
      </c>
      <c r="AD93" s="88"/>
      <c r="AE93" s="88"/>
      <c r="AF93" s="42"/>
    </row>
    <row r="94" spans="1:32" s="17" customFormat="1" ht="27" customHeight="1">
      <c r="A94" s="165"/>
      <c r="B94" s="169"/>
      <c r="C94" s="170"/>
      <c r="D94" s="170"/>
      <c r="E94" s="170"/>
      <c r="F94" s="171"/>
      <c r="G94" s="39" t="s">
        <v>97</v>
      </c>
      <c r="H94" s="43">
        <v>43703</v>
      </c>
      <c r="I94" s="43">
        <v>43703</v>
      </c>
      <c r="J94" s="43">
        <v>43703</v>
      </c>
      <c r="K94" s="43">
        <v>43703</v>
      </c>
      <c r="L94" s="43">
        <v>43703</v>
      </c>
      <c r="M94" s="43">
        <v>43703</v>
      </c>
      <c r="N94" s="43">
        <v>43703</v>
      </c>
      <c r="O94" s="43">
        <v>43703</v>
      </c>
      <c r="P94" s="43">
        <v>43703</v>
      </c>
      <c r="Q94" s="43">
        <v>43703</v>
      </c>
      <c r="R94" s="43">
        <v>43703</v>
      </c>
      <c r="S94" s="43">
        <v>43703</v>
      </c>
      <c r="T94" s="43">
        <v>43703</v>
      </c>
      <c r="U94" s="43">
        <v>43703</v>
      </c>
      <c r="V94" s="43">
        <v>43703</v>
      </c>
      <c r="W94" s="43">
        <v>43703</v>
      </c>
      <c r="X94" s="43">
        <v>43703</v>
      </c>
      <c r="Y94" s="43">
        <v>43703</v>
      </c>
      <c r="Z94" s="43">
        <v>43703</v>
      </c>
      <c r="AA94" s="43">
        <v>43703</v>
      </c>
      <c r="AB94" s="43">
        <v>43703</v>
      </c>
      <c r="AC94" s="43">
        <v>43703</v>
      </c>
      <c r="AD94" s="44"/>
      <c r="AE94" s="44"/>
      <c r="AF94" s="45"/>
    </row>
    <row r="95" spans="1:32" s="17" customFormat="1" ht="24.75" customHeight="1">
      <c r="A95" s="165"/>
      <c r="B95" s="169"/>
      <c r="C95" s="170"/>
      <c r="D95" s="170"/>
      <c r="E95" s="170"/>
      <c r="F95" s="171"/>
      <c r="G95" s="93" t="s">
        <v>98</v>
      </c>
      <c r="H95" s="40" t="s">
        <v>162</v>
      </c>
      <c r="I95" s="40" t="s">
        <v>162</v>
      </c>
      <c r="J95" s="40" t="s">
        <v>162</v>
      </c>
      <c r="K95" s="40" t="s">
        <v>162</v>
      </c>
      <c r="L95" s="40" t="s">
        <v>162</v>
      </c>
      <c r="M95" s="40" t="s">
        <v>162</v>
      </c>
      <c r="N95" s="40" t="s">
        <v>162</v>
      </c>
      <c r="O95" s="40" t="s">
        <v>162</v>
      </c>
      <c r="P95" s="40" t="s">
        <v>162</v>
      </c>
      <c r="Q95" s="40" t="s">
        <v>162</v>
      </c>
      <c r="R95" s="40" t="s">
        <v>162</v>
      </c>
      <c r="S95" s="40" t="s">
        <v>162</v>
      </c>
      <c r="T95" s="40" t="s">
        <v>162</v>
      </c>
      <c r="U95" s="40" t="s">
        <v>162</v>
      </c>
      <c r="V95" s="40" t="s">
        <v>162</v>
      </c>
      <c r="W95" s="40" t="s">
        <v>162</v>
      </c>
      <c r="X95" s="40" t="s">
        <v>162</v>
      </c>
      <c r="Y95" s="40" t="s">
        <v>162</v>
      </c>
      <c r="Z95" s="40" t="s">
        <v>162</v>
      </c>
      <c r="AA95" s="40" t="s">
        <v>162</v>
      </c>
      <c r="AB95" s="40" t="s">
        <v>162</v>
      </c>
      <c r="AC95" s="40" t="s">
        <v>162</v>
      </c>
      <c r="AD95" s="88"/>
      <c r="AE95" s="88"/>
      <c r="AF95" s="42"/>
    </row>
    <row r="96" spans="1:32" s="17" customFormat="1" ht="24.75" customHeight="1">
      <c r="A96" s="204" t="s">
        <v>99</v>
      </c>
      <c r="B96" s="248" t="s">
        <v>100</v>
      </c>
      <c r="C96" s="249"/>
      <c r="D96" s="249"/>
      <c r="E96" s="250"/>
      <c r="F96" s="207"/>
      <c r="G96" s="208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205"/>
      <c r="B97" s="192" t="s">
        <v>101</v>
      </c>
      <c r="C97" s="193"/>
      <c r="D97" s="193"/>
      <c r="E97" s="194"/>
      <c r="F97" s="192"/>
      <c r="G97" s="209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C6:G6"/>
    <mergeCell ref="C7:C9"/>
    <mergeCell ref="E7:G7"/>
    <mergeCell ref="E8:G8"/>
    <mergeCell ref="E9:G9"/>
    <mergeCell ref="C10:G10"/>
    <mergeCell ref="C11:C14"/>
    <mergeCell ref="B1:E1"/>
    <mergeCell ref="F1:O1"/>
    <mergeCell ref="P1:S1"/>
    <mergeCell ref="P2:Z2"/>
    <mergeCell ref="D22:D23"/>
    <mergeCell ref="E22:G22"/>
    <mergeCell ref="I2:O2"/>
    <mergeCell ref="T1:Z1"/>
    <mergeCell ref="D28:G28"/>
    <mergeCell ref="C25:C26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C47:C50"/>
    <mergeCell ref="D47:G47"/>
    <mergeCell ref="E39:G39"/>
    <mergeCell ref="E42:G42"/>
    <mergeCell ref="D52:G52"/>
    <mergeCell ref="D53:G53"/>
    <mergeCell ref="C24:G24"/>
    <mergeCell ref="E11:G11"/>
    <mergeCell ref="E12:G12"/>
    <mergeCell ref="E13:G13"/>
    <mergeCell ref="E14:G14"/>
    <mergeCell ref="C33:G33"/>
    <mergeCell ref="C51:G51"/>
    <mergeCell ref="C52:C53"/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 display="kailas@123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tabSelected="1" view="pageBreakPreview" zoomScale="85" zoomScaleNormal="70" zoomScaleSheetLayoutView="85" workbookViewId="0">
      <pane xSplit="7" ySplit="3" topLeftCell="H34" activePane="bottomRight" state="frozen"/>
      <selection activeCell="A5" sqref="A5"/>
      <selection pane="topRight" activeCell="A5" sqref="A5"/>
      <selection pane="bottomLeft" activeCell="A5" sqref="A5"/>
      <selection pane="bottomRight" activeCell="L44" sqref="L4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60</v>
      </c>
      <c r="B1" s="186" t="s">
        <v>171</v>
      </c>
      <c r="C1" s="187"/>
      <c r="D1" s="187"/>
      <c r="E1" s="188"/>
      <c r="F1" s="186" t="s">
        <v>205</v>
      </c>
      <c r="G1" s="187"/>
      <c r="H1" s="187"/>
      <c r="I1" s="187"/>
      <c r="J1" s="187"/>
      <c r="K1" s="187"/>
      <c r="L1" s="187"/>
      <c r="M1" s="187"/>
      <c r="N1" s="187"/>
      <c r="O1" s="188"/>
      <c r="P1" s="195" t="s">
        <v>61</v>
      </c>
      <c r="Q1" s="196"/>
      <c r="R1" s="196"/>
      <c r="S1" s="197"/>
      <c r="T1" s="186" t="s">
        <v>173</v>
      </c>
      <c r="U1" s="187"/>
      <c r="V1" s="187"/>
      <c r="W1" s="187"/>
      <c r="X1" s="187"/>
      <c r="Y1" s="187"/>
      <c r="Z1" s="188"/>
      <c r="AA1" s="198" t="s">
        <v>62</v>
      </c>
      <c r="AB1" s="198"/>
      <c r="AC1" s="199">
        <v>43703</v>
      </c>
      <c r="AD1" s="199"/>
      <c r="AE1" s="199"/>
      <c r="AF1" s="200"/>
    </row>
    <row r="2" spans="1:32" ht="20.100000000000001" customHeight="1" thickBot="1">
      <c r="A2" s="64" t="s">
        <v>63</v>
      </c>
      <c r="B2" s="189" t="s">
        <v>163</v>
      </c>
      <c r="C2" s="190"/>
      <c r="D2" s="190"/>
      <c r="E2" s="191"/>
      <c r="F2" s="189" t="s">
        <v>172</v>
      </c>
      <c r="G2" s="190"/>
      <c r="H2" s="191"/>
      <c r="I2" s="192" t="s">
        <v>102</v>
      </c>
      <c r="J2" s="193"/>
      <c r="K2" s="193"/>
      <c r="L2" s="193"/>
      <c r="M2" s="193"/>
      <c r="N2" s="193"/>
      <c r="O2" s="194"/>
      <c r="P2" s="189"/>
      <c r="Q2" s="190"/>
      <c r="R2" s="190"/>
      <c r="S2" s="190"/>
      <c r="T2" s="190"/>
      <c r="U2" s="190"/>
      <c r="V2" s="190"/>
      <c r="W2" s="190"/>
      <c r="X2" s="190"/>
      <c r="Y2" s="190"/>
      <c r="Z2" s="191"/>
      <c r="AA2" s="201" t="s">
        <v>109</v>
      </c>
      <c r="AB2" s="202"/>
      <c r="AC2" s="189" t="s">
        <v>118</v>
      </c>
      <c r="AD2" s="190"/>
      <c r="AE2" s="190"/>
      <c r="AF2" s="203"/>
    </row>
    <row r="3" spans="1:32" ht="37.5" customHeight="1" thickBot="1">
      <c r="A3" s="66" t="s">
        <v>64</v>
      </c>
      <c r="B3" s="10"/>
      <c r="C3" s="10"/>
      <c r="D3" s="10"/>
      <c r="E3" s="10"/>
      <c r="F3" s="10"/>
      <c r="G3" s="65" t="s">
        <v>65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8" t="s">
        <v>66</v>
      </c>
      <c r="B4" s="251" t="s">
        <v>115</v>
      </c>
      <c r="C4" s="251"/>
      <c r="D4" s="251"/>
      <c r="E4" s="251"/>
      <c r="F4" s="251"/>
      <c r="G4" s="25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9"/>
      <c r="B5" s="180" t="s">
        <v>102</v>
      </c>
      <c r="C5" s="181"/>
      <c r="D5" s="181"/>
      <c r="E5" s="181"/>
      <c r="F5" s="181"/>
      <c r="G5" s="220"/>
      <c r="H5" s="8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79"/>
      <c r="B6" s="79"/>
      <c r="C6" s="271" t="s">
        <v>103</v>
      </c>
      <c r="D6" s="272"/>
      <c r="E6" s="272"/>
      <c r="F6" s="272"/>
      <c r="G6" s="273"/>
      <c r="H6" s="82" t="s">
        <v>177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2" t="s">
        <v>89</v>
      </c>
      <c r="B7" s="175" t="s">
        <v>57</v>
      </c>
      <c r="C7" s="176"/>
      <c r="D7" s="176"/>
      <c r="E7" s="176"/>
      <c r="F7" s="176"/>
      <c r="G7" s="219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73"/>
      <c r="B8" s="236"/>
      <c r="C8" s="162" t="s">
        <v>198</v>
      </c>
      <c r="D8" s="163"/>
      <c r="E8" s="163"/>
      <c r="F8" s="163"/>
      <c r="G8" s="216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173"/>
      <c r="B9" s="184"/>
      <c r="C9" s="80"/>
      <c r="D9" s="228" t="s">
        <v>70</v>
      </c>
      <c r="E9" s="228"/>
      <c r="F9" s="228"/>
      <c r="G9" s="229"/>
      <c r="H9" s="82" t="s">
        <v>177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173"/>
      <c r="B10" s="184"/>
      <c r="C10" s="162" t="s">
        <v>73</v>
      </c>
      <c r="D10" s="163"/>
      <c r="E10" s="163"/>
      <c r="F10" s="163"/>
      <c r="G10" s="216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173"/>
      <c r="B11" s="184"/>
      <c r="C11" s="80"/>
      <c r="D11" s="228" t="s">
        <v>70</v>
      </c>
      <c r="E11" s="228"/>
      <c r="F11" s="228"/>
      <c r="G11" s="229"/>
      <c r="H11" s="82" t="s">
        <v>177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73"/>
      <c r="B12" s="184"/>
      <c r="C12" s="162" t="s">
        <v>67</v>
      </c>
      <c r="D12" s="163"/>
      <c r="E12" s="163"/>
      <c r="F12" s="163"/>
      <c r="G12" s="216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3"/>
      <c r="B13" s="184"/>
      <c r="C13" s="80"/>
      <c r="D13" s="228" t="s">
        <v>70</v>
      </c>
      <c r="E13" s="228"/>
      <c r="F13" s="228"/>
      <c r="G13" s="229"/>
      <c r="H13" s="82" t="s">
        <v>177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3"/>
      <c r="B14" s="184"/>
      <c r="C14" s="162" t="s">
        <v>69</v>
      </c>
      <c r="D14" s="163"/>
      <c r="E14" s="163"/>
      <c r="F14" s="163"/>
      <c r="G14" s="216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3"/>
      <c r="B15" s="184"/>
      <c r="C15" s="80"/>
      <c r="D15" s="228" t="s">
        <v>70</v>
      </c>
      <c r="E15" s="228"/>
      <c r="F15" s="228"/>
      <c r="G15" s="229"/>
      <c r="H15" s="82" t="s">
        <v>177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3"/>
      <c r="B16" s="184"/>
      <c r="C16" s="162" t="s">
        <v>71</v>
      </c>
      <c r="D16" s="163"/>
      <c r="E16" s="163"/>
      <c r="F16" s="163"/>
      <c r="G16" s="216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3"/>
      <c r="B17" s="184"/>
      <c r="C17" s="80"/>
      <c r="D17" s="228" t="s">
        <v>70</v>
      </c>
      <c r="E17" s="228"/>
      <c r="F17" s="228"/>
      <c r="G17" s="229"/>
      <c r="H17" s="82" t="s">
        <v>177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3"/>
      <c r="B18" s="184"/>
      <c r="C18" s="162" t="s">
        <v>72</v>
      </c>
      <c r="D18" s="163"/>
      <c r="E18" s="163"/>
      <c r="F18" s="163"/>
      <c r="G18" s="216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3"/>
      <c r="B19" s="184"/>
      <c r="C19" s="80"/>
      <c r="D19" s="228" t="s">
        <v>70</v>
      </c>
      <c r="E19" s="228"/>
      <c r="F19" s="228"/>
      <c r="G19" s="229"/>
      <c r="H19" s="82" t="s">
        <v>177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3"/>
      <c r="B20" s="184"/>
      <c r="C20" s="162" t="s">
        <v>74</v>
      </c>
      <c r="D20" s="163"/>
      <c r="E20" s="163"/>
      <c r="F20" s="163"/>
      <c r="G20" s="216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3"/>
      <c r="B21" s="184"/>
      <c r="C21" s="80"/>
      <c r="D21" s="228" t="s">
        <v>70</v>
      </c>
      <c r="E21" s="228"/>
      <c r="F21" s="228"/>
      <c r="G21" s="229"/>
      <c r="H21" s="82" t="s">
        <v>177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3"/>
      <c r="B22" s="184"/>
      <c r="C22" s="162" t="s">
        <v>104</v>
      </c>
      <c r="D22" s="163"/>
      <c r="E22" s="163"/>
      <c r="F22" s="163"/>
      <c r="G22" s="216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3"/>
      <c r="B23" s="184"/>
      <c r="C23" s="80"/>
      <c r="D23" s="228" t="s">
        <v>70</v>
      </c>
      <c r="E23" s="228"/>
      <c r="F23" s="228"/>
      <c r="G23" s="229"/>
      <c r="H23" s="82" t="s">
        <v>177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3"/>
      <c r="B24" s="184"/>
      <c r="C24" s="162" t="s">
        <v>105</v>
      </c>
      <c r="D24" s="163"/>
      <c r="E24" s="163"/>
      <c r="F24" s="163"/>
      <c r="G24" s="216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3"/>
      <c r="B25" s="184"/>
      <c r="C25" s="80"/>
      <c r="D25" s="228" t="s">
        <v>70</v>
      </c>
      <c r="E25" s="228"/>
      <c r="F25" s="228"/>
      <c r="G25" s="229"/>
      <c r="H25" s="82" t="s">
        <v>177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3"/>
      <c r="B26" s="184"/>
      <c r="C26" s="162" t="s">
        <v>106</v>
      </c>
      <c r="D26" s="163"/>
      <c r="E26" s="163"/>
      <c r="F26" s="163"/>
      <c r="G26" s="216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3"/>
      <c r="B27" s="184"/>
      <c r="C27" s="80"/>
      <c r="D27" s="228" t="s">
        <v>70</v>
      </c>
      <c r="E27" s="228"/>
      <c r="F27" s="228"/>
      <c r="G27" s="229"/>
      <c r="H27" s="82" t="s">
        <v>177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173"/>
      <c r="B28" s="184"/>
      <c r="C28" s="162" t="s">
        <v>107</v>
      </c>
      <c r="D28" s="163"/>
      <c r="E28" s="163"/>
      <c r="F28" s="163"/>
      <c r="G28" s="216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73"/>
      <c r="B29" s="184"/>
      <c r="C29" s="80"/>
      <c r="D29" s="228" t="s">
        <v>70</v>
      </c>
      <c r="E29" s="228"/>
      <c r="F29" s="228"/>
      <c r="G29" s="229"/>
      <c r="H29" s="82" t="s">
        <v>177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3"/>
      <c r="B30" s="184"/>
      <c r="C30" s="162" t="s">
        <v>79</v>
      </c>
      <c r="D30" s="163"/>
      <c r="E30" s="163"/>
      <c r="F30" s="163"/>
      <c r="G30" s="216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173"/>
      <c r="B31" s="184"/>
      <c r="C31" s="80"/>
      <c r="D31" s="228" t="s">
        <v>70</v>
      </c>
      <c r="E31" s="228"/>
      <c r="F31" s="228"/>
      <c r="G31" s="229"/>
      <c r="H31" s="82" t="s">
        <v>177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173"/>
      <c r="B32" s="184"/>
      <c r="C32" s="162" t="s">
        <v>81</v>
      </c>
      <c r="D32" s="163"/>
      <c r="E32" s="163"/>
      <c r="F32" s="163"/>
      <c r="G32" s="216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73"/>
      <c r="B33" s="184"/>
      <c r="C33" s="81"/>
      <c r="D33" s="163" t="s">
        <v>108</v>
      </c>
      <c r="E33" s="163"/>
      <c r="F33" s="163"/>
      <c r="G33" s="216"/>
      <c r="H33" s="82" t="s">
        <v>177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73"/>
      <c r="B34" s="184"/>
      <c r="C34" s="162" t="s">
        <v>82</v>
      </c>
      <c r="D34" s="163"/>
      <c r="E34" s="163"/>
      <c r="F34" s="163"/>
      <c r="G34" s="216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73"/>
      <c r="B35" s="184"/>
      <c r="C35" s="81"/>
      <c r="D35" s="163" t="s">
        <v>108</v>
      </c>
      <c r="E35" s="163"/>
      <c r="F35" s="163"/>
      <c r="G35" s="216"/>
      <c r="H35" s="82" t="s">
        <v>177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73"/>
      <c r="B36" s="184"/>
      <c r="C36" s="162" t="s">
        <v>83</v>
      </c>
      <c r="D36" s="163"/>
      <c r="E36" s="163"/>
      <c r="F36" s="163"/>
      <c r="G36" s="216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73"/>
      <c r="B37" s="184"/>
      <c r="C37" s="81"/>
      <c r="D37" s="163" t="s">
        <v>108</v>
      </c>
      <c r="E37" s="163"/>
      <c r="F37" s="163"/>
      <c r="G37" s="216"/>
      <c r="H37" s="82" t="s">
        <v>177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73"/>
      <c r="B38" s="184"/>
      <c r="C38" s="162" t="s">
        <v>84</v>
      </c>
      <c r="D38" s="163"/>
      <c r="E38" s="163"/>
      <c r="F38" s="163"/>
      <c r="G38" s="216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173"/>
      <c r="B39" s="184"/>
      <c r="C39" s="81"/>
      <c r="D39" s="163" t="s">
        <v>108</v>
      </c>
      <c r="E39" s="163"/>
      <c r="F39" s="163"/>
      <c r="G39" s="216"/>
      <c r="H39" s="82" t="s">
        <v>177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173"/>
      <c r="B40" s="184"/>
      <c r="C40" s="162" t="s">
        <v>85</v>
      </c>
      <c r="D40" s="163"/>
      <c r="E40" s="163"/>
      <c r="F40" s="163"/>
      <c r="G40" s="216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174"/>
      <c r="B41" s="237"/>
      <c r="C41" s="73"/>
      <c r="D41" s="274" t="s">
        <v>70</v>
      </c>
      <c r="E41" s="274"/>
      <c r="F41" s="274"/>
      <c r="G41" s="275"/>
      <c r="H41" s="84" t="s">
        <v>177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64" t="s">
        <v>94</v>
      </c>
      <c r="B42" s="270"/>
      <c r="C42" s="167"/>
      <c r="D42" s="167"/>
      <c r="E42" s="167"/>
      <c r="F42" s="168"/>
      <c r="G42" s="35" t="s">
        <v>95</v>
      </c>
      <c r="H42" s="36" t="s">
        <v>52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65"/>
      <c r="B43" s="169"/>
      <c r="C43" s="170"/>
      <c r="D43" s="170"/>
      <c r="E43" s="170"/>
      <c r="F43" s="171"/>
      <c r="G43" s="39" t="s">
        <v>96</v>
      </c>
      <c r="H43" s="40" t="s">
        <v>179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65"/>
      <c r="B44" s="169"/>
      <c r="C44" s="170"/>
      <c r="D44" s="170"/>
      <c r="E44" s="170"/>
      <c r="F44" s="171"/>
      <c r="G44" s="39" t="s">
        <v>97</v>
      </c>
      <c r="H44" s="43">
        <v>43703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65"/>
      <c r="B45" s="169"/>
      <c r="C45" s="170"/>
      <c r="D45" s="170"/>
      <c r="E45" s="170"/>
      <c r="F45" s="171"/>
      <c r="G45" s="74" t="s">
        <v>98</v>
      </c>
      <c r="H45" s="40" t="s">
        <v>162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204" t="s">
        <v>99</v>
      </c>
      <c r="B46" s="206" t="s">
        <v>100</v>
      </c>
      <c r="C46" s="206"/>
      <c r="D46" s="206"/>
      <c r="E46" s="206"/>
      <c r="F46" s="207"/>
      <c r="G46" s="208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205"/>
      <c r="B47" s="192" t="s">
        <v>101</v>
      </c>
      <c r="C47" s="193"/>
      <c r="D47" s="193"/>
      <c r="E47" s="194"/>
      <c r="F47" s="192"/>
      <c r="G47" s="209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46:A47"/>
    <mergeCell ref="B46:E46"/>
    <mergeCell ref="F46:G46"/>
    <mergeCell ref="B47:E47"/>
    <mergeCell ref="F47:G47"/>
    <mergeCell ref="A42:A45"/>
    <mergeCell ref="B42:F42"/>
    <mergeCell ref="B43:F43"/>
    <mergeCell ref="B44:F44"/>
    <mergeCell ref="B45:F45"/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C5:D99"/>
  <sheetViews>
    <sheetView workbookViewId="0">
      <selection activeCell="C114" sqref="C114"/>
    </sheetView>
  </sheetViews>
  <sheetFormatPr defaultRowHeight="13.5"/>
  <cols>
    <col min="3" max="3" width="18" customWidth="1"/>
    <col min="4" max="4" width="27.25" customWidth="1"/>
  </cols>
  <sheetData>
    <row r="5" spans="3:4">
      <c r="C5" s="101" t="s">
        <v>164</v>
      </c>
      <c r="D5" t="s">
        <v>165</v>
      </c>
    </row>
    <row r="52" spans="3:4">
      <c r="C52" s="101" t="s">
        <v>166</v>
      </c>
      <c r="D52" t="s">
        <v>167</v>
      </c>
    </row>
    <row r="99" spans="3:4">
      <c r="C99" s="101" t="s">
        <v>168</v>
      </c>
      <c r="D99" t="s">
        <v>169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Assignment</vt:lpstr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Varad Paralikar</dc:creator>
  <cp:lastModifiedBy>Varad</cp:lastModifiedBy>
  <cp:lastPrinted>2010-03-26T11:46:07Z</cp:lastPrinted>
  <dcterms:created xsi:type="dcterms:W3CDTF">2005-06-14T08:18:38Z</dcterms:created>
  <dcterms:modified xsi:type="dcterms:W3CDTF">2019-08-27T09:23:09Z</dcterms:modified>
</cp:coreProperties>
</file>